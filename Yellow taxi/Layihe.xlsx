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Handex\Təkrar tapşırıqlar və layihələr\Microsoft Excel\Kanan_Jafarli_Layihə-Yellow taxi\"/>
    </mc:Choice>
  </mc:AlternateContent>
  <xr:revisionPtr revIDLastSave="0" documentId="13_ncr:1_{4FA6D2C2-ECDD-4C31-89B1-1DAD96B3CB62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Aktiv qalma müddəti 1" sheetId="2" r:id="rId1"/>
    <sheet name="Aktiv qalma müddəti 2" sheetId="1" r:id="rId2"/>
    <sheet name="Reyting-Bonus-Plan" sheetId="4" r:id="rId3"/>
    <sheet name="Kampaniya" sheetId="5" r:id="rId4"/>
    <sheet name="Outliers" sheetId="6" r:id="rId5"/>
  </sheets>
  <calcPr calcId="191029"/>
  <pivotCaches>
    <pivotCache cacheId="7" r:id="rId6"/>
    <pivotCache cacheId="10" r:id="rId7"/>
    <pivotCache cacheId="13" r:id="rId8"/>
    <pivotCache cacheId="16" r:id="rId9"/>
    <pivotCache cacheId="19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Yellow taxi 13-19 February 2023_d8125d1f-50ea-43b0-a33f-587513b371f9" name="Yellow taxi 13-19 February 2023" connection="Query - Yellow taxi 13-19 February 202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6" l="1"/>
  <c r="O7" i="6"/>
  <c r="P7" i="6"/>
  <c r="Q7" i="6"/>
  <c r="R7" i="6"/>
  <c r="S7" i="6"/>
  <c r="N6" i="6"/>
  <c r="O6" i="6"/>
  <c r="P6" i="6"/>
  <c r="Q6" i="6"/>
  <c r="R6" i="6"/>
  <c r="S6" i="6"/>
  <c r="M7" i="6"/>
  <c r="M6" i="6"/>
  <c r="N5" i="6"/>
  <c r="O5" i="6"/>
  <c r="P5" i="6"/>
  <c r="Q5" i="6"/>
  <c r="R5" i="6"/>
  <c r="S5" i="6"/>
  <c r="M5" i="6"/>
  <c r="N4" i="6"/>
  <c r="O4" i="6"/>
  <c r="P4" i="6"/>
  <c r="Q4" i="6"/>
  <c r="R4" i="6"/>
  <c r="S4" i="6"/>
  <c r="M4" i="6"/>
  <c r="N3" i="6"/>
  <c r="O3" i="6"/>
  <c r="P3" i="6"/>
  <c r="Q3" i="6"/>
  <c r="R3" i="6"/>
  <c r="S3" i="6"/>
  <c r="M3" i="6"/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2" i="5"/>
  <c r="F5" i="4" a="1"/>
  <c r="F5" i="4" s="1"/>
  <c r="G5" i="4" s="1" a="1"/>
  <c r="G5" i="4" s="1"/>
  <c r="F6" i="4" a="1"/>
  <c r="F6" i="4" s="1"/>
  <c r="G6" i="4" s="1" a="1"/>
  <c r="G6" i="4" s="1"/>
  <c r="F7" i="4" a="1"/>
  <c r="F7" i="4" s="1"/>
  <c r="G7" i="4" s="1" a="1"/>
  <c r="G7" i="4" s="1"/>
  <c r="F8" i="4" a="1"/>
  <c r="F8" i="4" s="1"/>
  <c r="G8" i="4" s="1" a="1"/>
  <c r="G8" i="4" s="1"/>
  <c r="F9" i="4" a="1"/>
  <c r="F9" i="4" s="1"/>
  <c r="G9" i="4" s="1" a="1"/>
  <c r="G9" i="4" s="1"/>
  <c r="F10" i="4" a="1"/>
  <c r="F10" i="4" s="1"/>
  <c r="G10" i="4" s="1" a="1"/>
  <c r="G10" i="4" s="1"/>
  <c r="F11" i="4" a="1"/>
  <c r="F11" i="4" s="1"/>
  <c r="G11" i="4" s="1" a="1"/>
  <c r="G11" i="4" s="1"/>
  <c r="F12" i="4" a="1"/>
  <c r="F12" i="4" s="1"/>
  <c r="G12" i="4" s="1" a="1"/>
  <c r="G12" i="4" s="1"/>
  <c r="F13" i="4" a="1"/>
  <c r="F13" i="4" s="1"/>
  <c r="G13" i="4" s="1" a="1"/>
  <c r="G13" i="4" s="1"/>
  <c r="F14" i="4" a="1"/>
  <c r="F14" i="4" s="1"/>
  <c r="G14" i="4" s="1" a="1"/>
  <c r="G14" i="4" s="1"/>
  <c r="F15" i="4" a="1"/>
  <c r="F15" i="4" s="1"/>
  <c r="G15" i="4" s="1" a="1"/>
  <c r="G15" i="4" s="1"/>
  <c r="F16" i="4" a="1"/>
  <c r="F16" i="4" s="1"/>
  <c r="G16" i="4" s="1" a="1"/>
  <c r="G16" i="4" s="1"/>
  <c r="F17" i="4" a="1"/>
  <c r="F17" i="4" s="1"/>
  <c r="G17" i="4" s="1" a="1"/>
  <c r="G17" i="4" s="1"/>
  <c r="F18" i="4" a="1"/>
  <c r="F18" i="4" s="1"/>
  <c r="G18" i="4" s="1" a="1"/>
  <c r="G18" i="4" s="1"/>
  <c r="F19" i="4" a="1"/>
  <c r="F19" i="4" s="1"/>
  <c r="G19" i="4" s="1" a="1"/>
  <c r="G19" i="4" s="1"/>
  <c r="F20" i="4" a="1"/>
  <c r="F20" i="4" s="1"/>
  <c r="G20" i="4" s="1" a="1"/>
  <c r="G20" i="4" s="1"/>
  <c r="F21" i="4" a="1"/>
  <c r="F21" i="4" s="1"/>
  <c r="G21" i="4" s="1" a="1"/>
  <c r="G21" i="4" s="1"/>
  <c r="F22" i="4" a="1"/>
  <c r="F22" i="4" s="1"/>
  <c r="G22" i="4" s="1" a="1"/>
  <c r="G22" i="4" s="1"/>
  <c r="F23" i="4" a="1"/>
  <c r="F23" i="4" s="1"/>
  <c r="G23" i="4" s="1" a="1"/>
  <c r="G23" i="4" s="1"/>
  <c r="F24" i="4" a="1"/>
  <c r="F24" i="4" s="1"/>
  <c r="G24" i="4" s="1" a="1"/>
  <c r="G24" i="4" s="1"/>
  <c r="F25" i="4" a="1"/>
  <c r="F25" i="4" s="1"/>
  <c r="G25" i="4" s="1" a="1"/>
  <c r="G25" i="4" s="1"/>
  <c r="F26" i="4" a="1"/>
  <c r="F26" i="4" s="1"/>
  <c r="G26" i="4" s="1" a="1"/>
  <c r="G26" i="4" s="1"/>
  <c r="F27" i="4" a="1"/>
  <c r="F27" i="4" s="1"/>
  <c r="G27" i="4" s="1" a="1"/>
  <c r="G27" i="4" s="1"/>
  <c r="F28" i="4" a="1"/>
  <c r="F28" i="4" s="1"/>
  <c r="G28" i="4" s="1" a="1"/>
  <c r="G28" i="4" s="1"/>
  <c r="F29" i="4" a="1"/>
  <c r="F29" i="4" s="1"/>
  <c r="G29" i="4" s="1" a="1"/>
  <c r="G29" i="4" s="1"/>
  <c r="F30" i="4" a="1"/>
  <c r="F30" i="4" s="1"/>
  <c r="G30" i="4" s="1" a="1"/>
  <c r="G30" i="4" s="1"/>
  <c r="F31" i="4" a="1"/>
  <c r="F31" i="4" s="1"/>
  <c r="G31" i="4" s="1" a="1"/>
  <c r="G31" i="4" s="1"/>
  <c r="F32" i="4" a="1"/>
  <c r="F32" i="4" s="1"/>
  <c r="G32" i="4" s="1" a="1"/>
  <c r="G32" i="4" s="1"/>
  <c r="F33" i="4" a="1"/>
  <c r="F33" i="4" s="1"/>
  <c r="G33" i="4" s="1" a="1"/>
  <c r="G33" i="4" s="1"/>
  <c r="F34" i="4" a="1"/>
  <c r="F34" i="4" s="1"/>
  <c r="G34" i="4" s="1" a="1"/>
  <c r="G34" i="4" s="1"/>
  <c r="F35" i="4" a="1"/>
  <c r="F35" i="4" s="1"/>
  <c r="G35" i="4" s="1" a="1"/>
  <c r="G35" i="4" s="1"/>
  <c r="F36" i="4" a="1"/>
  <c r="F36" i="4" s="1"/>
  <c r="G36" i="4" s="1" a="1"/>
  <c r="G36" i="4" s="1"/>
  <c r="F37" i="4" a="1"/>
  <c r="F37" i="4" s="1"/>
  <c r="G37" i="4" s="1" a="1"/>
  <c r="G37" i="4" s="1"/>
  <c r="F38" i="4" a="1"/>
  <c r="F38" i="4" s="1"/>
  <c r="G38" i="4" s="1" a="1"/>
  <c r="G38" i="4" s="1"/>
  <c r="F39" i="4" a="1"/>
  <c r="F39" i="4" s="1"/>
  <c r="G39" i="4" s="1" a="1"/>
  <c r="G39" i="4" s="1"/>
  <c r="F40" i="4" a="1"/>
  <c r="F40" i="4" s="1"/>
  <c r="G40" i="4" s="1" a="1"/>
  <c r="G40" i="4" s="1"/>
  <c r="F41" i="4" a="1"/>
  <c r="F41" i="4" s="1"/>
  <c r="G41" i="4" s="1" a="1"/>
  <c r="G41" i="4" s="1"/>
  <c r="F42" i="4" a="1"/>
  <c r="F42" i="4" s="1"/>
  <c r="G42" i="4" s="1" a="1"/>
  <c r="G42" i="4" s="1"/>
  <c r="F43" i="4" a="1"/>
  <c r="F43" i="4" s="1"/>
  <c r="G43" i="4" s="1" a="1"/>
  <c r="G43" i="4" s="1"/>
  <c r="F44" i="4" a="1"/>
  <c r="F44" i="4" s="1"/>
  <c r="G44" i="4" s="1" a="1"/>
  <c r="G44" i="4" s="1"/>
  <c r="F45" i="4" a="1"/>
  <c r="F45" i="4" s="1"/>
  <c r="G45" i="4" s="1" a="1"/>
  <c r="G45" i="4" s="1"/>
  <c r="F46" i="4" a="1"/>
  <c r="F46" i="4" s="1"/>
  <c r="G46" i="4" s="1" a="1"/>
  <c r="G46" i="4" s="1"/>
  <c r="F47" i="4" a="1"/>
  <c r="F47" i="4" s="1"/>
  <c r="G47" i="4" s="1" a="1"/>
  <c r="G47" i="4" s="1"/>
  <c r="F48" i="4" a="1"/>
  <c r="F48" i="4" s="1"/>
  <c r="G48" i="4" s="1" a="1"/>
  <c r="G48" i="4" s="1"/>
  <c r="F49" i="4" a="1"/>
  <c r="F49" i="4" s="1"/>
  <c r="G49" i="4" s="1" a="1"/>
  <c r="G49" i="4" s="1"/>
  <c r="F50" i="4" a="1"/>
  <c r="F50" i="4" s="1"/>
  <c r="G50" i="4" s="1" a="1"/>
  <c r="G50" i="4" s="1"/>
  <c r="F51" i="4" a="1"/>
  <c r="F51" i="4" s="1"/>
  <c r="G51" i="4" s="1" a="1"/>
  <c r="G51" i="4" s="1"/>
  <c r="F52" i="4" a="1"/>
  <c r="F52" i="4" s="1"/>
  <c r="G52" i="4" s="1" a="1"/>
  <c r="G52" i="4" s="1"/>
  <c r="F53" i="4" a="1"/>
  <c r="F53" i="4" s="1"/>
  <c r="G53" i="4" s="1" a="1"/>
  <c r="G53" i="4" s="1"/>
  <c r="F54" i="4" a="1"/>
  <c r="F54" i="4" s="1"/>
  <c r="G54" i="4" s="1" a="1"/>
  <c r="G54" i="4" s="1"/>
  <c r="F55" i="4" a="1"/>
  <c r="F55" i="4" s="1"/>
  <c r="G55" i="4" s="1" a="1"/>
  <c r="G55" i="4" s="1"/>
  <c r="F56" i="4" a="1"/>
  <c r="F56" i="4" s="1"/>
  <c r="G56" i="4" s="1" a="1"/>
  <c r="G56" i="4" s="1"/>
  <c r="F57" i="4" a="1"/>
  <c r="F57" i="4" s="1"/>
  <c r="G57" i="4" s="1" a="1"/>
  <c r="G57" i="4" s="1"/>
  <c r="F4" i="4" a="1"/>
  <c r="F4" i="4" s="1"/>
  <c r="G4" i="4" s="1" a="1"/>
  <c r="G4" i="4" s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3" i="2"/>
  <c r="H42" i="4" l="1" a="1"/>
  <c r="H42" i="4" s="1"/>
  <c r="H28" i="4" a="1"/>
  <c r="H28" i="4" s="1"/>
  <c r="H26" i="4" a="1"/>
  <c r="H26" i="4" s="1"/>
  <c r="H18" i="4" a="1"/>
  <c r="H18" i="4" s="1"/>
  <c r="H15" i="4" a="1"/>
  <c r="H15" i="4" s="1"/>
  <c r="H14" i="4" a="1"/>
  <c r="H14" i="4" s="1"/>
  <c r="H46" i="4" a="1"/>
  <c r="H46" i="4" s="1"/>
  <c r="H32" i="4" a="1"/>
  <c r="H32" i="4" s="1"/>
  <c r="H30" i="4" a="1"/>
  <c r="H30" i="4" s="1"/>
  <c r="H29" i="4" a="1"/>
  <c r="H29" i="4" s="1"/>
  <c r="H13" i="4" a="1"/>
  <c r="H13" i="4" s="1"/>
  <c r="H12" i="4" a="1"/>
  <c r="H12" i="4" s="1"/>
  <c r="H47" i="4" a="1"/>
  <c r="H47" i="4" s="1"/>
  <c r="H33" i="4" a="1"/>
  <c r="H33" i="4" s="1"/>
  <c r="H19" i="4" a="1"/>
  <c r="H19" i="4" s="1"/>
  <c r="H45" i="4" a="1"/>
  <c r="H45" i="4" s="1"/>
  <c r="H31" i="4" a="1"/>
  <c r="H31" i="4" s="1"/>
  <c r="H17" i="4" a="1"/>
  <c r="H17" i="4" s="1"/>
  <c r="H16" i="4" a="1"/>
  <c r="H16" i="4" s="1"/>
  <c r="H4" i="4" a="1"/>
  <c r="H4" i="4" s="1"/>
  <c r="H44" i="4" a="1"/>
  <c r="H44" i="4" s="1"/>
  <c r="H57" i="4" a="1"/>
  <c r="H57" i="4" s="1"/>
  <c r="H43" i="4" a="1"/>
  <c r="H43" i="4" s="1"/>
  <c r="H56" i="4" a="1"/>
  <c r="H56" i="4" s="1"/>
  <c r="H55" i="4" a="1"/>
  <c r="H55" i="4" s="1"/>
  <c r="H41" i="4" a="1"/>
  <c r="H41" i="4" s="1"/>
  <c r="H27" i="4" a="1"/>
  <c r="H27" i="4" s="1"/>
  <c r="H53" i="4" a="1"/>
  <c r="H53" i="4" s="1"/>
  <c r="H39" i="4" a="1"/>
  <c r="H39" i="4" s="1"/>
  <c r="H25" i="4" a="1"/>
  <c r="H25" i="4" s="1"/>
  <c r="H11" i="4" a="1"/>
  <c r="H11" i="4" s="1"/>
  <c r="H38" i="4" a="1"/>
  <c r="H38" i="4" s="1"/>
  <c r="H24" i="4" a="1"/>
  <c r="H24" i="4" s="1"/>
  <c r="H10" i="4" a="1"/>
  <c r="H10" i="4" s="1"/>
  <c r="H54" i="4" a="1"/>
  <c r="H54" i="4" s="1"/>
  <c r="H40" i="4" a="1"/>
  <c r="H40" i="4" s="1"/>
  <c r="H52" i="4" a="1"/>
  <c r="H52" i="4" s="1"/>
  <c r="H37" i="4" a="1"/>
  <c r="H37" i="4" s="1"/>
  <c r="H23" i="4" a="1"/>
  <c r="H23" i="4" s="1"/>
  <c r="H9" i="4" a="1"/>
  <c r="H9" i="4" s="1"/>
  <c r="H51" i="4" a="1"/>
  <c r="H51" i="4" s="1"/>
  <c r="H22" i="4" a="1"/>
  <c r="H22" i="4" s="1"/>
  <c r="H8" i="4" a="1"/>
  <c r="H8" i="4" s="1"/>
  <c r="H50" i="4" a="1"/>
  <c r="H50" i="4" s="1"/>
  <c r="H36" i="4" a="1"/>
  <c r="H36" i="4" s="1"/>
  <c r="H21" i="4" a="1"/>
  <c r="H21" i="4" s="1"/>
  <c r="H7" i="4" a="1"/>
  <c r="H7" i="4" s="1"/>
  <c r="H49" i="4" a="1"/>
  <c r="H49" i="4" s="1"/>
  <c r="H35" i="4" a="1"/>
  <c r="H35" i="4" s="1"/>
  <c r="H6" i="4" a="1"/>
  <c r="H6" i="4" s="1"/>
  <c r="H48" i="4" a="1"/>
  <c r="H48" i="4" s="1"/>
  <c r="H34" i="4" a="1"/>
  <c r="H34" i="4" s="1"/>
  <c r="H20" i="4" a="1"/>
  <c r="H20" i="4" s="1"/>
  <c r="H5" i="4" a="1"/>
  <c r="H5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42E7F0-389D-413C-A301-04DA84B7B8F0}" name="Query - Yellow taxi 13-19 February 2023" description="Connection to the 'Yellow taxi 13-19 February 2023' query in the workbook." type="100" refreshedVersion="8" minRefreshableVersion="5">
    <extLst>
      <ext xmlns:x15="http://schemas.microsoft.com/office/spreadsheetml/2010/11/main" uri="{DE250136-89BD-433C-8126-D09CA5730AF9}">
        <x15:connection id="8ede8730-7667-41a0-be28-a4b7cbc37b15"/>
      </ext>
    </extLst>
  </connection>
  <connection id="2" xr16:uid="{D09C58AF-AE14-402F-97FB-391F6BC88C74}" keepAlive="1" name="ThisWorkbookDataModel" description="Data Model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<sst xmlns="http://schemas.openxmlformats.org/spreadsheetml/2006/main" count="1138" uniqueCount="956">
  <si>
    <t>S-1125</t>
  </si>
  <si>
    <t>S-1163</t>
  </si>
  <si>
    <t>S-1191</t>
  </si>
  <si>
    <t>S-1227</t>
  </si>
  <si>
    <t>S-1229</t>
  </si>
  <si>
    <t>S-1341</t>
  </si>
  <si>
    <t>S-1357</t>
  </si>
  <si>
    <t>S-1379</t>
  </si>
  <si>
    <t>S-1423</t>
  </si>
  <si>
    <t>S-1477</t>
  </si>
  <si>
    <t>S-1521</t>
  </si>
  <si>
    <t>S-1539</t>
  </si>
  <si>
    <t>S-1619</t>
  </si>
  <si>
    <t>S-1655</t>
  </si>
  <si>
    <t>S-1665</t>
  </si>
  <si>
    <t>S-1671</t>
  </si>
  <si>
    <t>S-1687</t>
  </si>
  <si>
    <t>S-1695</t>
  </si>
  <si>
    <t>S-1829</t>
  </si>
  <si>
    <t>S-1935</t>
  </si>
  <si>
    <t>S-1985</t>
  </si>
  <si>
    <t>S-1993</t>
  </si>
  <si>
    <t>S-1997</t>
  </si>
  <si>
    <t>S-2045</t>
  </si>
  <si>
    <t>S-2087</t>
  </si>
  <si>
    <t>S-2101</t>
  </si>
  <si>
    <t>S-2113</t>
  </si>
  <si>
    <t>S-2135</t>
  </si>
  <si>
    <t>S-2153</t>
  </si>
  <si>
    <t>S-2163</t>
  </si>
  <si>
    <t>S-2175</t>
  </si>
  <si>
    <t>S-2255</t>
  </si>
  <si>
    <t>S-2333</t>
  </si>
  <si>
    <t>S-2341</t>
  </si>
  <si>
    <t>S-2357</t>
  </si>
  <si>
    <t>S-2361</t>
  </si>
  <si>
    <t>S-2417</t>
  </si>
  <si>
    <t>S-2511</t>
  </si>
  <si>
    <t>S-2529</t>
  </si>
  <si>
    <t>S-2541</t>
  </si>
  <si>
    <t>S-2585</t>
  </si>
  <si>
    <t>S-2587</t>
  </si>
  <si>
    <t>S-2627</t>
  </si>
  <si>
    <t>S-2683</t>
  </si>
  <si>
    <t>S-2779</t>
  </si>
  <si>
    <t>S-2785</t>
  </si>
  <si>
    <t>S-2861</t>
  </si>
  <si>
    <t>S-2903</t>
  </si>
  <si>
    <t>S-2939</t>
  </si>
  <si>
    <t>S-3007</t>
  </si>
  <si>
    <t>S-3053</t>
  </si>
  <si>
    <t>S-3067</t>
  </si>
  <si>
    <t>S-3079</t>
  </si>
  <si>
    <t>S-3103</t>
  </si>
  <si>
    <t>Grand Total</t>
  </si>
  <si>
    <t>Total avg_daily_time_hours</t>
  </si>
  <si>
    <t>avg_daily_time_hours</t>
  </si>
  <si>
    <t>Total active_time_minutes</t>
  </si>
  <si>
    <t>active_time_minutes</t>
  </si>
  <si>
    <t>Row Labels</t>
  </si>
  <si>
    <t>Sum of active_time_minutes</t>
  </si>
  <si>
    <t>active daily time hours</t>
  </si>
  <si>
    <t>Count of driverID</t>
  </si>
  <si>
    <t>876-111167</t>
  </si>
  <si>
    <t>876-111425</t>
  </si>
  <si>
    <t>876-111463</t>
  </si>
  <si>
    <t>876-127157</t>
  </si>
  <si>
    <t>876-127161</t>
  </si>
  <si>
    <t>876-127374</t>
  </si>
  <si>
    <t>876-127462</t>
  </si>
  <si>
    <t>876-127469</t>
  </si>
  <si>
    <t>876-127567</t>
  </si>
  <si>
    <t>876-127856</t>
  </si>
  <si>
    <t>876-127925</t>
  </si>
  <si>
    <t>876-128173</t>
  </si>
  <si>
    <t>876-128218</t>
  </si>
  <si>
    <t>876-128676</t>
  </si>
  <si>
    <t>876-128679</t>
  </si>
  <si>
    <t>876-128691</t>
  </si>
  <si>
    <t>876-128722</t>
  </si>
  <si>
    <t>876-128831</t>
  </si>
  <si>
    <t>876-128936</t>
  </si>
  <si>
    <t>876-128973</t>
  </si>
  <si>
    <t>876-129032</t>
  </si>
  <si>
    <t>876-129050</t>
  </si>
  <si>
    <t>876-129067</t>
  </si>
  <si>
    <t>876-129107</t>
  </si>
  <si>
    <t>876-129180</t>
  </si>
  <si>
    <t>876-129450</t>
  </si>
  <si>
    <t>876-129465</t>
  </si>
  <si>
    <t>876-129468</t>
  </si>
  <si>
    <t>876-129497</t>
  </si>
  <si>
    <t>876-129579</t>
  </si>
  <si>
    <t>876-129707</t>
  </si>
  <si>
    <t>876-129758</t>
  </si>
  <si>
    <t>876-129872</t>
  </si>
  <si>
    <t>876-130009</t>
  </si>
  <si>
    <t>876-130057</t>
  </si>
  <si>
    <t>876-130065</t>
  </si>
  <si>
    <t>876-130176</t>
  </si>
  <si>
    <t>876-130251</t>
  </si>
  <si>
    <t>876-130299</t>
  </si>
  <si>
    <t>876-130319</t>
  </si>
  <si>
    <t>876-130458</t>
  </si>
  <si>
    <t>876-130697</t>
  </si>
  <si>
    <t>876-130772</t>
  </si>
  <si>
    <t>876-130852</t>
  </si>
  <si>
    <t>876-130857</t>
  </si>
  <si>
    <t>876-130880</t>
  </si>
  <si>
    <t>876-131072</t>
  </si>
  <si>
    <t>876-111246</t>
  </si>
  <si>
    <t>876-111270</t>
  </si>
  <si>
    <t>876-111528</t>
  </si>
  <si>
    <t>876-111605</t>
  </si>
  <si>
    <t>876-111626</t>
  </si>
  <si>
    <t>876-111698</t>
  </si>
  <si>
    <t>876-111725</t>
  </si>
  <si>
    <t>876-127146</t>
  </si>
  <si>
    <t>876-127170</t>
  </si>
  <si>
    <t>876-127277</t>
  </si>
  <si>
    <t>876-127287</t>
  </si>
  <si>
    <t>876-127407</t>
  </si>
  <si>
    <t>876-127410</t>
  </si>
  <si>
    <t>876-127432</t>
  </si>
  <si>
    <t>876-127480</t>
  </si>
  <si>
    <t>876-127521</t>
  </si>
  <si>
    <t>876-127533</t>
  </si>
  <si>
    <t>876-127600</t>
  </si>
  <si>
    <t>876-127629</t>
  </si>
  <si>
    <t>876-127653</t>
  </si>
  <si>
    <t>876-127717</t>
  </si>
  <si>
    <t>876-127754</t>
  </si>
  <si>
    <t>876-127876</t>
  </si>
  <si>
    <t>876-127901</t>
  </si>
  <si>
    <t>876-128026</t>
  </si>
  <si>
    <t>876-128071</t>
  </si>
  <si>
    <t>876-128084</t>
  </si>
  <si>
    <t>876-128113</t>
  </si>
  <si>
    <t>876-128142</t>
  </si>
  <si>
    <t>876-128174</t>
  </si>
  <si>
    <t>876-128216</t>
  </si>
  <si>
    <t>876-128247</t>
  </si>
  <si>
    <t>876-128258</t>
  </si>
  <si>
    <t>876-128346</t>
  </si>
  <si>
    <t>876-128353</t>
  </si>
  <si>
    <t>876-128421</t>
  </si>
  <si>
    <t>876-128426</t>
  </si>
  <si>
    <t>876-128458</t>
  </si>
  <si>
    <t>876-128489</t>
  </si>
  <si>
    <t>876-128493</t>
  </si>
  <si>
    <t>876-128525</t>
  </si>
  <si>
    <t>876-128593</t>
  </si>
  <si>
    <t>876-128670</t>
  </si>
  <si>
    <t>876-128690</t>
  </si>
  <si>
    <t>876-128721</t>
  </si>
  <si>
    <t>876-128890</t>
  </si>
  <si>
    <t>876-128928</t>
  </si>
  <si>
    <t>876-128938</t>
  </si>
  <si>
    <t>876-129030</t>
  </si>
  <si>
    <t>876-129070</t>
  </si>
  <si>
    <t>876-129105</t>
  </si>
  <si>
    <t>876-129183</t>
  </si>
  <si>
    <t>876-129186</t>
  </si>
  <si>
    <t>876-129243</t>
  </si>
  <si>
    <t>876-129387</t>
  </si>
  <si>
    <t>876-129428</t>
  </si>
  <si>
    <t>876-129572</t>
  </si>
  <si>
    <t>876-129588</t>
  </si>
  <si>
    <t>876-129723</t>
  </si>
  <si>
    <t>876-129738</t>
  </si>
  <si>
    <t>876-129760</t>
  </si>
  <si>
    <t>876-129780</t>
  </si>
  <si>
    <t>876-129833</t>
  </si>
  <si>
    <t>876-129870</t>
  </si>
  <si>
    <t>876-129889</t>
  </si>
  <si>
    <t>876-129901</t>
  </si>
  <si>
    <t>876-129937</t>
  </si>
  <si>
    <t>876-129992</t>
  </si>
  <si>
    <t>876-130004</t>
  </si>
  <si>
    <t>876-130021</t>
  </si>
  <si>
    <t>876-130066</t>
  </si>
  <si>
    <t>876-130155</t>
  </si>
  <si>
    <t>876-130284</t>
  </si>
  <si>
    <t>876-130341</t>
  </si>
  <si>
    <t>876-130398</t>
  </si>
  <si>
    <t>876-130429</t>
  </si>
  <si>
    <t>876-130502</t>
  </si>
  <si>
    <t>876-130517</t>
  </si>
  <si>
    <t>876-130568</t>
  </si>
  <si>
    <t>876-130594</t>
  </si>
  <si>
    <t>876-130619</t>
  </si>
  <si>
    <t>876-130627</t>
  </si>
  <si>
    <t>876-130653</t>
  </si>
  <si>
    <t>876-130665</t>
  </si>
  <si>
    <t>876-130666</t>
  </si>
  <si>
    <t>876-130758</t>
  </si>
  <si>
    <t>876-130813</t>
  </si>
  <si>
    <t>876-130928</t>
  </si>
  <si>
    <t>876-130945</t>
  </si>
  <si>
    <t>876-130965</t>
  </si>
  <si>
    <t>876-130970</t>
  </si>
  <si>
    <t>876-131019</t>
  </si>
  <si>
    <t>876-131023</t>
  </si>
  <si>
    <t>876-131108</t>
  </si>
  <si>
    <t>876-131111</t>
  </si>
  <si>
    <t>876-131126</t>
  </si>
  <si>
    <t>876-131176</t>
  </si>
  <si>
    <t>876-131232</t>
  </si>
  <si>
    <t>876-111197</t>
  </si>
  <si>
    <t>876-111269</t>
  </si>
  <si>
    <t>876-111403</t>
  </si>
  <si>
    <t>876-111444</t>
  </si>
  <si>
    <t>876-111485</t>
  </si>
  <si>
    <t>876-111510</t>
  </si>
  <si>
    <t>876-111620</t>
  </si>
  <si>
    <t>876-111742</t>
  </si>
  <si>
    <t>876-127151</t>
  </si>
  <si>
    <t>876-127256</t>
  </si>
  <si>
    <t>876-127263</t>
  </si>
  <si>
    <t>876-127316</t>
  </si>
  <si>
    <t>876-127401</t>
  </si>
  <si>
    <t>876-127476</t>
  </si>
  <si>
    <t>876-127522</t>
  </si>
  <si>
    <t>876-127559</t>
  </si>
  <si>
    <t>876-127563</t>
  </si>
  <si>
    <t>876-127573</t>
  </si>
  <si>
    <t>876-127794</t>
  </si>
  <si>
    <t>876-128301</t>
  </si>
  <si>
    <t>876-128448</t>
  </si>
  <si>
    <t>876-128496</t>
  </si>
  <si>
    <t>876-128526</t>
  </si>
  <si>
    <t>876-128587</t>
  </si>
  <si>
    <t>876-128745</t>
  </si>
  <si>
    <t>876-128770</t>
  </si>
  <si>
    <t>876-128947</t>
  </si>
  <si>
    <t>876-129045</t>
  </si>
  <si>
    <t>876-129295</t>
  </si>
  <si>
    <t>876-129309</t>
  </si>
  <si>
    <t>876-129397</t>
  </si>
  <si>
    <t>876-129525</t>
  </si>
  <si>
    <t>876-129698</t>
  </si>
  <si>
    <t>876-129786</t>
  </si>
  <si>
    <t>876-130012</t>
  </si>
  <si>
    <t>876-130073</t>
  </si>
  <si>
    <t>876-130454</t>
  </si>
  <si>
    <t>876-130478</t>
  </si>
  <si>
    <t>876-130538</t>
  </si>
  <si>
    <t>876-130599</t>
  </si>
  <si>
    <t>876-130667</t>
  </si>
  <si>
    <t>876-130777</t>
  </si>
  <si>
    <t>876-130786</t>
  </si>
  <si>
    <t>876-130849</t>
  </si>
  <si>
    <t>876-130864</t>
  </si>
  <si>
    <t>876-130958</t>
  </si>
  <si>
    <t>876-130969</t>
  </si>
  <si>
    <t>876-131005</t>
  </si>
  <si>
    <t>876-131052</t>
  </si>
  <si>
    <t>876-131140</t>
  </si>
  <si>
    <t>876-131223</t>
  </si>
  <si>
    <t>876-111308</t>
  </si>
  <si>
    <t>876-111524</t>
  </si>
  <si>
    <t>876-111551</t>
  </si>
  <si>
    <t>876-111595</t>
  </si>
  <si>
    <t>876-111633</t>
  </si>
  <si>
    <t>876-111704</t>
  </si>
  <si>
    <t>876-111706</t>
  </si>
  <si>
    <t>876-127278</t>
  </si>
  <si>
    <t>876-127331</t>
  </si>
  <si>
    <t>876-127443</t>
  </si>
  <si>
    <t>876-127513</t>
  </si>
  <si>
    <t>876-127526</t>
  </si>
  <si>
    <t>876-127614</t>
  </si>
  <si>
    <t>876-127617</t>
  </si>
  <si>
    <t>876-127706</t>
  </si>
  <si>
    <t>876-127825</t>
  </si>
  <si>
    <t>876-127906</t>
  </si>
  <si>
    <t>876-127935</t>
  </si>
  <si>
    <t>876-127960</t>
  </si>
  <si>
    <t>876-128022</t>
  </si>
  <si>
    <t>876-128300</t>
  </si>
  <si>
    <t>876-128428</t>
  </si>
  <si>
    <t>876-128698</t>
  </si>
  <si>
    <t>876-128728</t>
  </si>
  <si>
    <t>876-128769</t>
  </si>
  <si>
    <t>876-128825</t>
  </si>
  <si>
    <t>876-128925</t>
  </si>
  <si>
    <t>876-129027</t>
  </si>
  <si>
    <t>876-129078</t>
  </si>
  <si>
    <t>876-129082</t>
  </si>
  <si>
    <t>876-129161</t>
  </si>
  <si>
    <t>876-129208</t>
  </si>
  <si>
    <t>876-129356</t>
  </si>
  <si>
    <t>876-129423</t>
  </si>
  <si>
    <t>876-129574</t>
  </si>
  <si>
    <t>876-129740</t>
  </si>
  <si>
    <t>876-129782</t>
  </si>
  <si>
    <t>876-129855</t>
  </si>
  <si>
    <t>876-129863</t>
  </si>
  <si>
    <t>876-129928</t>
  </si>
  <si>
    <t>876-129940</t>
  </si>
  <si>
    <t>876-129990</t>
  </si>
  <si>
    <t>876-130117</t>
  </si>
  <si>
    <t>876-130212</t>
  </si>
  <si>
    <t>876-130302</t>
  </si>
  <si>
    <t>876-130355</t>
  </si>
  <si>
    <t>876-130366</t>
  </si>
  <si>
    <t>876-130440</t>
  </si>
  <si>
    <t>876-130507</t>
  </si>
  <si>
    <t>876-130645</t>
  </si>
  <si>
    <t>876-130868</t>
  </si>
  <si>
    <t>876-130953</t>
  </si>
  <si>
    <t>876-130985</t>
  </si>
  <si>
    <t>876-131038</t>
  </si>
  <si>
    <t>876-131085</t>
  </si>
  <si>
    <t>876-131123</t>
  </si>
  <si>
    <t>876-131169</t>
  </si>
  <si>
    <t>876-131195</t>
  </si>
  <si>
    <t>876-111284</t>
  </si>
  <si>
    <t>876-111498</t>
  </si>
  <si>
    <t>876-111606</t>
  </si>
  <si>
    <t>876-111664</t>
  </si>
  <si>
    <t>876-127219</t>
  </si>
  <si>
    <t>876-127236</t>
  </si>
  <si>
    <t>876-127303</t>
  </si>
  <si>
    <t>876-127423</t>
  </si>
  <si>
    <t>876-127445</t>
  </si>
  <si>
    <t>876-127449</t>
  </si>
  <si>
    <t>876-127548</t>
  </si>
  <si>
    <t>876-127763</t>
  </si>
  <si>
    <t>876-127843</t>
  </si>
  <si>
    <t>876-127903</t>
  </si>
  <si>
    <t>876-127907</t>
  </si>
  <si>
    <t>876-127984</t>
  </si>
  <si>
    <t>876-128068</t>
  </si>
  <si>
    <t>876-128108</t>
  </si>
  <si>
    <t>876-128134</t>
  </si>
  <si>
    <t>876-128152</t>
  </si>
  <si>
    <t>876-128162</t>
  </si>
  <si>
    <t>876-128200</t>
  </si>
  <si>
    <t>876-128239</t>
  </si>
  <si>
    <t>876-128273</t>
  </si>
  <si>
    <t>876-128283</t>
  </si>
  <si>
    <t>876-128546</t>
  </si>
  <si>
    <t>876-128734</t>
  </si>
  <si>
    <t>876-128768</t>
  </si>
  <si>
    <t>876-128840</t>
  </si>
  <si>
    <t>876-129021</t>
  </si>
  <si>
    <t>876-129154</t>
  </si>
  <si>
    <t>876-129170</t>
  </si>
  <si>
    <t>876-129181</t>
  </si>
  <si>
    <t>876-129212</t>
  </si>
  <si>
    <t>876-129492</t>
  </si>
  <si>
    <t>876-129511</t>
  </si>
  <si>
    <t>876-129544</t>
  </si>
  <si>
    <t>876-129633</t>
  </si>
  <si>
    <t>876-129680</t>
  </si>
  <si>
    <t>876-129799</t>
  </si>
  <si>
    <t>876-129853</t>
  </si>
  <si>
    <t>876-129943</t>
  </si>
  <si>
    <t>876-130083</t>
  </si>
  <si>
    <t>876-130086</t>
  </si>
  <si>
    <t>876-130091</t>
  </si>
  <si>
    <t>876-130138</t>
  </si>
  <si>
    <t>876-130220</t>
  </si>
  <si>
    <t>876-130228</t>
  </si>
  <si>
    <t>876-130287</t>
  </si>
  <si>
    <t>876-130289</t>
  </si>
  <si>
    <t>876-130372</t>
  </si>
  <si>
    <t>876-130436</t>
  </si>
  <si>
    <t>876-130520</t>
  </si>
  <si>
    <t>876-130651</t>
  </si>
  <si>
    <t>876-130845</t>
  </si>
  <si>
    <t>876-130873</t>
  </si>
  <si>
    <t>876-130912</t>
  </si>
  <si>
    <t>876-130933</t>
  </si>
  <si>
    <t>876-130934</t>
  </si>
  <si>
    <t>876-131128</t>
  </si>
  <si>
    <t>876-131172</t>
  </si>
  <si>
    <t>876-131190</t>
  </si>
  <si>
    <t>876-111343</t>
  </si>
  <si>
    <t>876-111711</t>
  </si>
  <si>
    <t>876-127163</t>
  </si>
  <si>
    <t>876-127215</t>
  </si>
  <si>
    <t>876-127373</t>
  </si>
  <si>
    <t>876-127434</t>
  </si>
  <si>
    <t>876-127520</t>
  </si>
  <si>
    <t>876-127723</t>
  </si>
  <si>
    <t>876-127751</t>
  </si>
  <si>
    <t>876-127870</t>
  </si>
  <si>
    <t>876-127894</t>
  </si>
  <si>
    <t>876-127917</t>
  </si>
  <si>
    <t>876-128034</t>
  </si>
  <si>
    <t>876-128186</t>
  </si>
  <si>
    <t>876-128281</t>
  </si>
  <si>
    <t>876-128338</t>
  </si>
  <si>
    <t>876-128390</t>
  </si>
  <si>
    <t>876-128564</t>
  </si>
  <si>
    <t>876-128794</t>
  </si>
  <si>
    <t>876-128939</t>
  </si>
  <si>
    <t>876-128944</t>
  </si>
  <si>
    <t>876-128967</t>
  </si>
  <si>
    <t>876-129015</t>
  </si>
  <si>
    <t>876-129094</t>
  </si>
  <si>
    <t>876-129120</t>
  </si>
  <si>
    <t>876-129234</t>
  </si>
  <si>
    <t>876-129291</t>
  </si>
  <si>
    <t>876-129377</t>
  </si>
  <si>
    <t>876-129486</t>
  </si>
  <si>
    <t>876-129558</t>
  </si>
  <si>
    <t>876-129608</t>
  </si>
  <si>
    <t>876-129726</t>
  </si>
  <si>
    <t>876-129744</t>
  </si>
  <si>
    <t>876-129994</t>
  </si>
  <si>
    <t>876-130049</t>
  </si>
  <si>
    <t>876-130104</t>
  </si>
  <si>
    <t>876-130264</t>
  </si>
  <si>
    <t>876-130271</t>
  </si>
  <si>
    <t>876-130508</t>
  </si>
  <si>
    <t>876-130624</t>
  </si>
  <si>
    <t>876-130708</t>
  </si>
  <si>
    <t>876-130929</t>
  </si>
  <si>
    <t>876-130971</t>
  </si>
  <si>
    <t>876-130996</t>
  </si>
  <si>
    <t>876-131090</t>
  </si>
  <si>
    <t>876-131224</t>
  </si>
  <si>
    <t>876-111135</t>
  </si>
  <si>
    <t>876-111225</t>
  </si>
  <si>
    <t>876-111236</t>
  </si>
  <si>
    <t>876-111378</t>
  </si>
  <si>
    <t>876-111673</t>
  </si>
  <si>
    <t>876-111684</t>
  </si>
  <si>
    <t>876-111685</t>
  </si>
  <si>
    <t>876-127173</t>
  </si>
  <si>
    <t>876-127181</t>
  </si>
  <si>
    <t>876-127244</t>
  </si>
  <si>
    <t>876-127285</t>
  </si>
  <si>
    <t>876-127351</t>
  </si>
  <si>
    <t>876-127416</t>
  </si>
  <si>
    <t>876-127568</t>
  </si>
  <si>
    <t>876-127586</t>
  </si>
  <si>
    <t>876-127780</t>
  </si>
  <si>
    <t>876-127862</t>
  </si>
  <si>
    <t>876-128030</t>
  </si>
  <si>
    <t>876-128103</t>
  </si>
  <si>
    <t>876-128129</t>
  </si>
  <si>
    <t>876-128179</t>
  </si>
  <si>
    <t>876-128203</t>
  </si>
  <si>
    <t>876-128372</t>
  </si>
  <si>
    <t>876-128645</t>
  </si>
  <si>
    <t>876-128839</t>
  </si>
  <si>
    <t>876-128883</t>
  </si>
  <si>
    <t>876-129001</t>
  </si>
  <si>
    <t>876-129003</t>
  </si>
  <si>
    <t>876-129046</t>
  </si>
  <si>
    <t>876-129048</t>
  </si>
  <si>
    <t>876-129169</t>
  </si>
  <si>
    <t>876-129194</t>
  </si>
  <si>
    <t>876-129435</t>
  </si>
  <si>
    <t>876-129442</t>
  </si>
  <si>
    <t>876-129521</t>
  </si>
  <si>
    <t>876-129548</t>
  </si>
  <si>
    <t>876-129737</t>
  </si>
  <si>
    <t>876-129899</t>
  </si>
  <si>
    <t>876-129996</t>
  </si>
  <si>
    <t>876-130054</t>
  </si>
  <si>
    <t>876-130223</t>
  </si>
  <si>
    <t>876-130439</t>
  </si>
  <si>
    <t>876-130557</t>
  </si>
  <si>
    <t>876-130577</t>
  </si>
  <si>
    <t>876-130668</t>
  </si>
  <si>
    <t>876-130784</t>
  </si>
  <si>
    <t>876-130850</t>
  </si>
  <si>
    <t>876-130876</t>
  </si>
  <si>
    <t>876-130891</t>
  </si>
  <si>
    <t>876-111210</t>
  </si>
  <si>
    <t>876-111245</t>
  </si>
  <si>
    <t>876-111659</t>
  </si>
  <si>
    <t>876-127264</t>
  </si>
  <si>
    <t>876-127334</t>
  </si>
  <si>
    <t>876-127349</t>
  </si>
  <si>
    <t>876-127451</t>
  </si>
  <si>
    <t>876-127639</t>
  </si>
  <si>
    <t>876-128088</t>
  </si>
  <si>
    <t>876-128185</t>
  </si>
  <si>
    <t>876-128223</t>
  </si>
  <si>
    <t>876-128244</t>
  </si>
  <si>
    <t>876-128352</t>
  </si>
  <si>
    <t>876-128488</t>
  </si>
  <si>
    <t>876-128518</t>
  </si>
  <si>
    <t>876-128547</t>
  </si>
  <si>
    <t>876-128611</t>
  </si>
  <si>
    <t>876-128749</t>
  </si>
  <si>
    <t>876-128854</t>
  </si>
  <si>
    <t>876-128941</t>
  </si>
  <si>
    <t>876-128950</t>
  </si>
  <si>
    <t>876-129242</t>
  </si>
  <si>
    <t>876-129326</t>
  </si>
  <si>
    <t>876-129545</t>
  </si>
  <si>
    <t>876-129718</t>
  </si>
  <si>
    <t>876-129823</t>
  </si>
  <si>
    <t>876-129847</t>
  </si>
  <si>
    <t>876-129921</t>
  </si>
  <si>
    <t>876-130027</t>
  </si>
  <si>
    <t>876-130062</t>
  </si>
  <si>
    <t>876-130132</t>
  </si>
  <si>
    <t>876-130225</t>
  </si>
  <si>
    <t>876-130583</t>
  </si>
  <si>
    <t>876-130632</t>
  </si>
  <si>
    <t>876-130693</t>
  </si>
  <si>
    <t>876-130716</t>
  </si>
  <si>
    <t>876-130806</t>
  </si>
  <si>
    <t>876-131086</t>
  </si>
  <si>
    <t>876-131121</t>
  </si>
  <si>
    <t>876-131145</t>
  </si>
  <si>
    <t>876-111193</t>
  </si>
  <si>
    <t>876-111198</t>
  </si>
  <si>
    <t>876-111232</t>
  </si>
  <si>
    <t>876-111316</t>
  </si>
  <si>
    <t>876-127259</t>
  </si>
  <si>
    <t>876-127618</t>
  </si>
  <si>
    <t>876-127742</t>
  </si>
  <si>
    <t>876-128147</t>
  </si>
  <si>
    <t>876-128215</t>
  </si>
  <si>
    <t>876-128463</t>
  </si>
  <si>
    <t>876-129020</t>
  </si>
  <si>
    <t>876-129324</t>
  </si>
  <si>
    <t>876-129454</t>
  </si>
  <si>
    <t>876-129674</t>
  </si>
  <si>
    <t>876-129828</t>
  </si>
  <si>
    <t>876-130099</t>
  </si>
  <si>
    <t>876-130126</t>
  </si>
  <si>
    <t>876-130154</t>
  </si>
  <si>
    <t>876-130188</t>
  </si>
  <si>
    <t>876-130317</t>
  </si>
  <si>
    <t>876-130563</t>
  </si>
  <si>
    <t>876-130699</t>
  </si>
  <si>
    <t>876-130869</t>
  </si>
  <si>
    <t>876-130931</t>
  </si>
  <si>
    <t>876-130938</t>
  </si>
  <si>
    <t>876-131227</t>
  </si>
  <si>
    <t>876-111138</t>
  </si>
  <si>
    <t>876-111196</t>
  </si>
  <si>
    <t>876-111273</t>
  </si>
  <si>
    <t>876-111281</t>
  </si>
  <si>
    <t>876-111364</t>
  </si>
  <si>
    <t>876-111393</t>
  </si>
  <si>
    <t>876-111492</t>
  </si>
  <si>
    <t>876-111637</t>
  </si>
  <si>
    <t>876-111657</t>
  </si>
  <si>
    <t>876-127123</t>
  </si>
  <si>
    <t>876-127295</t>
  </si>
  <si>
    <t>876-127311</t>
  </si>
  <si>
    <t>876-127323</t>
  </si>
  <si>
    <t>876-127578</t>
  </si>
  <si>
    <t>876-127601</t>
  </si>
  <si>
    <t>876-127668</t>
  </si>
  <si>
    <t>876-127915</t>
  </si>
  <si>
    <t>876-127946</t>
  </si>
  <si>
    <t>876-128060</t>
  </si>
  <si>
    <t>876-128109</t>
  </si>
  <si>
    <t>876-128317</t>
  </si>
  <si>
    <t>876-128368</t>
  </si>
  <si>
    <t>876-128497</t>
  </si>
  <si>
    <t>876-128528</t>
  </si>
  <si>
    <t>876-128661</t>
  </si>
  <si>
    <t>876-128735</t>
  </si>
  <si>
    <t>876-128776</t>
  </si>
  <si>
    <t>876-129022</t>
  </si>
  <si>
    <t>876-129276</t>
  </si>
  <si>
    <t>876-129431</t>
  </si>
  <si>
    <t>876-129508</t>
  </si>
  <si>
    <t>876-129515</t>
  </si>
  <si>
    <t>876-129581</t>
  </si>
  <si>
    <t>876-129705</t>
  </si>
  <si>
    <t>876-129748</t>
  </si>
  <si>
    <t>876-130030</t>
  </si>
  <si>
    <t>876-130068</t>
  </si>
  <si>
    <t>876-130097</t>
  </si>
  <si>
    <t>876-130460</t>
  </si>
  <si>
    <t>876-130467</t>
  </si>
  <si>
    <t>876-130495</t>
  </si>
  <si>
    <t>876-130512</t>
  </si>
  <si>
    <t>876-130726</t>
  </si>
  <si>
    <t>876-130795</t>
  </si>
  <si>
    <t>876-130828</t>
  </si>
  <si>
    <t>876-130904</t>
  </si>
  <si>
    <t>876-130997</t>
  </si>
  <si>
    <t>876-131055</t>
  </si>
  <si>
    <t>876-131065</t>
  </si>
  <si>
    <t>876-111423</t>
  </si>
  <si>
    <t>876-111501</t>
  </si>
  <si>
    <t>876-111534</t>
  </si>
  <si>
    <t>876-127369</t>
  </si>
  <si>
    <t>876-127709</t>
  </si>
  <si>
    <t>876-127729</t>
  </si>
  <si>
    <t>876-128245</t>
  </si>
  <si>
    <t>876-128447</t>
  </si>
  <si>
    <t>876-128799</t>
  </si>
  <si>
    <t>876-128866</t>
  </si>
  <si>
    <t>876-129098</t>
  </si>
  <si>
    <t>876-129132</t>
  </si>
  <si>
    <t>876-129413</t>
  </si>
  <si>
    <t>876-129455</t>
  </si>
  <si>
    <t>876-129809</t>
  </si>
  <si>
    <t>876-129953</t>
  </si>
  <si>
    <t>876-130059</t>
  </si>
  <si>
    <t>876-130080</t>
  </si>
  <si>
    <t>876-130715</t>
  </si>
  <si>
    <t>876-130939</t>
  </si>
  <si>
    <t>876-130973</t>
  </si>
  <si>
    <t>876-130978</t>
  </si>
  <si>
    <t>876-111174</t>
  </si>
  <si>
    <t>876-111355</t>
  </si>
  <si>
    <t>876-111383</t>
  </si>
  <si>
    <t>876-111387</t>
  </si>
  <si>
    <t>876-111559</t>
  </si>
  <si>
    <t>876-111573</t>
  </si>
  <si>
    <t>876-127122</t>
  </si>
  <si>
    <t>876-127193</t>
  </si>
  <si>
    <t>876-127209</t>
  </si>
  <si>
    <t>876-127273</t>
  </si>
  <si>
    <t>876-127376</t>
  </si>
  <si>
    <t>876-127558</t>
  </si>
  <si>
    <t>876-127718</t>
  </si>
  <si>
    <t>876-127771</t>
  </si>
  <si>
    <t>876-127864</t>
  </si>
  <si>
    <t>876-127974</t>
  </si>
  <si>
    <t>876-128395</t>
  </si>
  <si>
    <t>876-128470</t>
  </si>
  <si>
    <t>876-128574</t>
  </si>
  <si>
    <t>876-128778</t>
  </si>
  <si>
    <t>876-128783</t>
  </si>
  <si>
    <t>876-129017</t>
  </si>
  <si>
    <t>876-129156</t>
  </si>
  <si>
    <t>876-129252</t>
  </si>
  <si>
    <t>876-129273</t>
  </si>
  <si>
    <t>876-129292</t>
  </si>
  <si>
    <t>876-129331</t>
  </si>
  <si>
    <t>876-129335</t>
  </si>
  <si>
    <t>876-129414</t>
  </si>
  <si>
    <t>876-129631</t>
  </si>
  <si>
    <t>876-129679</t>
  </si>
  <si>
    <t>876-129767</t>
  </si>
  <si>
    <t>876-129979</t>
  </si>
  <si>
    <t>876-130258</t>
  </si>
  <si>
    <t>876-130296</t>
  </si>
  <si>
    <t>876-130322</t>
  </si>
  <si>
    <t>876-130424</t>
  </si>
  <si>
    <t>876-130815</t>
  </si>
  <si>
    <t>876-130901</t>
  </si>
  <si>
    <t>876-130989</t>
  </si>
  <si>
    <t>876-131222</t>
  </si>
  <si>
    <t>876-111537</t>
  </si>
  <si>
    <t>876-111724</t>
  </si>
  <si>
    <t>876-127289</t>
  </si>
  <si>
    <t>876-127380</t>
  </si>
  <si>
    <t>876-127506</t>
  </si>
  <si>
    <t>876-127547</t>
  </si>
  <si>
    <t>876-127599</t>
  </si>
  <si>
    <t>876-127644</t>
  </si>
  <si>
    <t>876-127685</t>
  </si>
  <si>
    <t>876-127724</t>
  </si>
  <si>
    <t>876-127786</t>
  </si>
  <si>
    <t>876-127888</t>
  </si>
  <si>
    <t>876-127931</t>
  </si>
  <si>
    <t>876-127973</t>
  </si>
  <si>
    <t>876-128226</t>
  </si>
  <si>
    <t>876-128520</t>
  </si>
  <si>
    <t>876-128540</t>
  </si>
  <si>
    <t>876-128580</t>
  </si>
  <si>
    <t>876-128595</t>
  </si>
  <si>
    <t>876-128614</t>
  </si>
  <si>
    <t>876-128656</t>
  </si>
  <si>
    <t>876-128673</t>
  </si>
  <si>
    <t>876-128937</t>
  </si>
  <si>
    <t>876-128999</t>
  </si>
  <si>
    <t>876-129026</t>
  </si>
  <si>
    <t>876-129462</t>
  </si>
  <si>
    <t>876-129553</t>
  </si>
  <si>
    <t>876-129578</t>
  </si>
  <si>
    <t>876-129605</t>
  </si>
  <si>
    <t>876-129636</t>
  </si>
  <si>
    <t>876-130019</t>
  </si>
  <si>
    <t>876-130473</t>
  </si>
  <si>
    <t>876-130669</t>
  </si>
  <si>
    <t>876-130753</t>
  </si>
  <si>
    <t>876-130835</t>
  </si>
  <si>
    <t>876-111495</t>
  </si>
  <si>
    <t>876-127135</t>
  </si>
  <si>
    <t>876-127994</t>
  </si>
  <si>
    <t>876-128194</t>
  </si>
  <si>
    <t>876-129116</t>
  </si>
  <si>
    <t>876-129167</t>
  </si>
  <si>
    <t>876-129909</t>
  </si>
  <si>
    <t>876-130321</t>
  </si>
  <si>
    <t>876-130423</t>
  </si>
  <si>
    <t>876-130525</t>
  </si>
  <si>
    <t>876-130779</t>
  </si>
  <si>
    <t>876-111546</t>
  </si>
  <si>
    <t>876-111566</t>
  </si>
  <si>
    <t>876-127210</t>
  </si>
  <si>
    <t>876-127798</t>
  </si>
  <si>
    <t>876-127959</t>
  </si>
  <si>
    <t>876-128182</t>
  </si>
  <si>
    <t>876-128420</t>
  </si>
  <si>
    <t>876-128568</t>
  </si>
  <si>
    <t>876-128641</t>
  </si>
  <si>
    <t>876-128887</t>
  </si>
  <si>
    <t>876-128955</t>
  </si>
  <si>
    <t>876-128978</t>
  </si>
  <si>
    <t>876-129378</t>
  </si>
  <si>
    <t>876-129778</t>
  </si>
  <si>
    <t>876-130072</t>
  </si>
  <si>
    <t>876-130232</t>
  </si>
  <si>
    <t>876-130500</t>
  </si>
  <si>
    <t>876-130783</t>
  </si>
  <si>
    <t>876-131174</t>
  </si>
  <si>
    <t>876-111251</t>
  </si>
  <si>
    <t>876-111643</t>
  </si>
  <si>
    <t>876-111682</t>
  </si>
  <si>
    <t>876-127279</t>
  </si>
  <si>
    <t>876-127826</t>
  </si>
  <si>
    <t>876-127897</t>
  </si>
  <si>
    <t>876-128118</t>
  </si>
  <si>
    <t>876-128246</t>
  </si>
  <si>
    <t>876-128511</t>
  </si>
  <si>
    <t>876-129701</t>
  </si>
  <si>
    <t>876-129765</t>
  </si>
  <si>
    <t>876-129807</t>
  </si>
  <si>
    <t>876-130119</t>
  </si>
  <si>
    <t>876-130315</t>
  </si>
  <si>
    <t>876-130471</t>
  </si>
  <si>
    <t>876-130528</t>
  </si>
  <si>
    <t>876-130617</t>
  </si>
  <si>
    <t>876-130961</t>
  </si>
  <si>
    <t>876-131025</t>
  </si>
  <si>
    <t>876-131092</t>
  </si>
  <si>
    <t>876-131129</t>
  </si>
  <si>
    <t>876-131233</t>
  </si>
  <si>
    <t>876-111260</t>
  </si>
  <si>
    <t>876-127156</t>
  </si>
  <si>
    <t>876-128014</t>
  </si>
  <si>
    <t>876-128140</t>
  </si>
  <si>
    <t>876-128406</t>
  </si>
  <si>
    <t>876-128408</t>
  </si>
  <si>
    <t>876-128713</t>
  </si>
  <si>
    <t>876-129289</t>
  </si>
  <si>
    <t>876-129347</t>
  </si>
  <si>
    <t>876-129640</t>
  </si>
  <si>
    <t>876-129787</t>
  </si>
  <si>
    <t>876-130199</t>
  </si>
  <si>
    <t>876-130209</t>
  </si>
  <si>
    <t>876-130788</t>
  </si>
  <si>
    <t>876-130797</t>
  </si>
  <si>
    <t>876-130847</t>
  </si>
  <si>
    <t>876-130920</t>
  </si>
  <si>
    <t>876-130941</t>
  </si>
  <si>
    <t>876-131148</t>
  </si>
  <si>
    <t>876-111231</t>
  </si>
  <si>
    <t>876-111458</t>
  </si>
  <si>
    <t>876-111465</t>
  </si>
  <si>
    <t>876-127504</t>
  </si>
  <si>
    <t>876-127550</t>
  </si>
  <si>
    <t>876-127571</t>
  </si>
  <si>
    <t>876-127587</t>
  </si>
  <si>
    <t>876-128211</t>
  </si>
  <si>
    <t>876-128403</t>
  </si>
  <si>
    <t>876-128415</t>
  </si>
  <si>
    <t>876-128476</t>
  </si>
  <si>
    <t>876-128708</t>
  </si>
  <si>
    <t>876-128737</t>
  </si>
  <si>
    <t>876-128855</t>
  </si>
  <si>
    <t>876-128904</t>
  </si>
  <si>
    <t>876-129349</t>
  </si>
  <si>
    <t>876-129749</t>
  </si>
  <si>
    <t>876-130013</t>
  </si>
  <si>
    <t>876-130130</t>
  </si>
  <si>
    <t>876-131119</t>
  </si>
  <si>
    <t>876-111439</t>
  </si>
  <si>
    <t>876-127515</t>
  </si>
  <si>
    <t>876-127648</t>
  </si>
  <si>
    <t>876-127695</t>
  </si>
  <si>
    <t>876-127922</t>
  </si>
  <si>
    <t>876-128809</t>
  </si>
  <si>
    <t>876-129485</t>
  </si>
  <si>
    <t>876-129563</t>
  </si>
  <si>
    <t>876-129615</t>
  </si>
  <si>
    <t>876-129883</t>
  </si>
  <si>
    <t>876-130108</t>
  </si>
  <si>
    <t>876-130291</t>
  </si>
  <si>
    <t>876-130310</t>
  </si>
  <si>
    <t>876-131115</t>
  </si>
  <si>
    <t>876-111346</t>
  </si>
  <si>
    <t>876-127397</t>
  </si>
  <si>
    <t>876-127979</t>
  </si>
  <si>
    <t>876-128270</t>
  </si>
  <si>
    <t>876-128437</t>
  </si>
  <si>
    <t>876-128457</t>
  </si>
  <si>
    <t>876-128581</t>
  </si>
  <si>
    <t>876-128975</t>
  </si>
  <si>
    <t>876-129808</t>
  </si>
  <si>
    <t>876-129904</t>
  </si>
  <si>
    <t>876-130329</t>
  </si>
  <si>
    <t>876-130433</t>
  </si>
  <si>
    <t>876-131061</t>
  </si>
  <si>
    <t>876-111416</t>
  </si>
  <si>
    <t>876-111469</t>
  </si>
  <si>
    <t>876-111509</t>
  </si>
  <si>
    <t>876-111615</t>
  </si>
  <si>
    <t>876-111632</t>
  </si>
  <si>
    <t>876-127969</t>
  </si>
  <si>
    <t>876-128343</t>
  </si>
  <si>
    <t>876-129178</t>
  </si>
  <si>
    <t>876-129271</t>
  </si>
  <si>
    <t>876-129391</t>
  </si>
  <si>
    <t>876-129672</t>
  </si>
  <si>
    <t>876-129752</t>
  </si>
  <si>
    <t>876-129875</t>
  </si>
  <si>
    <t>876-130017</t>
  </si>
  <si>
    <t>876-130026</t>
  </si>
  <si>
    <t>876-130799</t>
  </si>
  <si>
    <t>876-130994</t>
  </si>
  <si>
    <t>876-111218</t>
  </si>
  <si>
    <t>876-111736</t>
  </si>
  <si>
    <t>876-127418</t>
  </si>
  <si>
    <t>876-127767</t>
  </si>
  <si>
    <t>876-128157</t>
  </si>
  <si>
    <t>876-128375</t>
  </si>
  <si>
    <t>876-128492</t>
  </si>
  <si>
    <t>876-128792</t>
  </si>
  <si>
    <t>876-128862</t>
  </si>
  <si>
    <t>876-129560</t>
  </si>
  <si>
    <t>876-130817</t>
  </si>
  <si>
    <t>876-111584</t>
  </si>
  <si>
    <t>876-128814</t>
  </si>
  <si>
    <t>876-128836</t>
  </si>
  <si>
    <t>876-128929</t>
  </si>
  <si>
    <t>876-129730</t>
  </si>
  <si>
    <t>876-111552</t>
  </si>
  <si>
    <t>876-127525</t>
  </si>
  <si>
    <t>876-127981</t>
  </si>
  <si>
    <t>876-128063</t>
  </si>
  <si>
    <t>876-128331</t>
  </si>
  <si>
    <t>876-128572</t>
  </si>
  <si>
    <t>876-128954</t>
  </si>
  <si>
    <t>876-129066</t>
  </si>
  <si>
    <t>876-129811</t>
  </si>
  <si>
    <t>876-130256</t>
  </si>
  <si>
    <t>876-130425</t>
  </si>
  <si>
    <t>876-130790</t>
  </si>
  <si>
    <t>876-131004</t>
  </si>
  <si>
    <t>876-131104</t>
  </si>
  <si>
    <t>876-131153</t>
  </si>
  <si>
    <t>876-131186</t>
  </si>
  <si>
    <t>876-128617</t>
  </si>
  <si>
    <t>876-128845</t>
  </si>
  <si>
    <t>876-129308</t>
  </si>
  <si>
    <t>876-129630</t>
  </si>
  <si>
    <t>876-129836</t>
  </si>
  <si>
    <t>876-129838</t>
  </si>
  <si>
    <t>876-130185</t>
  </si>
  <si>
    <t>876-130222</t>
  </si>
  <si>
    <t>876-131076</t>
  </si>
  <si>
    <t>876-127237</t>
  </si>
  <si>
    <t>876-127492</t>
  </si>
  <si>
    <t>876-128377</t>
  </si>
  <si>
    <t>876-129483</t>
  </si>
  <si>
    <t>876-129825</t>
  </si>
  <si>
    <t>876-129959</t>
  </si>
  <si>
    <t>876-130096</t>
  </si>
  <si>
    <t>876-130663</t>
  </si>
  <si>
    <t>876-130882</t>
  </si>
  <si>
    <t>876-131008</t>
  </si>
  <si>
    <t>876-129712</t>
  </si>
  <si>
    <t>876-129849</t>
  </si>
  <si>
    <t>876-129951</t>
  </si>
  <si>
    <t>876-130725</t>
  </si>
  <si>
    <t>876-111593</t>
  </si>
  <si>
    <t>876-128296</t>
  </si>
  <si>
    <t>876-129093</t>
  </si>
  <si>
    <t>876-129590</t>
  </si>
  <si>
    <t>876-130925</t>
  </si>
  <si>
    <t>876-127439</t>
  </si>
  <si>
    <t>876-128085</t>
  </si>
  <si>
    <t>876-129055</t>
  </si>
  <si>
    <t>876-130156</t>
  </si>
  <si>
    <t>876-130211</t>
  </si>
  <si>
    <t>876-111123</t>
  </si>
  <si>
    <t>876-129518</t>
  </si>
  <si>
    <t>876-127365</t>
  </si>
  <si>
    <t>876-128165</t>
  </si>
  <si>
    <t>876-128898</t>
  </si>
  <si>
    <t>876-129248</t>
  </si>
  <si>
    <t>876-130387</t>
  </si>
  <si>
    <t>876-127812</t>
  </si>
  <si>
    <t>876-128431</t>
  </si>
  <si>
    <t>876-127280</t>
  </si>
  <si>
    <t>876-127354</t>
  </si>
  <si>
    <t>876-127455</t>
  </si>
  <si>
    <t>876-127957</t>
  </si>
  <si>
    <t>876-129072</t>
  </si>
  <si>
    <t>876-129441</t>
  </si>
  <si>
    <t>876-129824</t>
  </si>
  <si>
    <t>876-130340</t>
  </si>
  <si>
    <t>876-130343</t>
  </si>
  <si>
    <t>876-130865</t>
  </si>
  <si>
    <t>876-131135</t>
  </si>
  <si>
    <t>876-131149</t>
  </si>
  <si>
    <t>876-127282</t>
  </si>
  <si>
    <t>876-127528</t>
  </si>
  <si>
    <t>876-127740</t>
  </si>
  <si>
    <t>876-128119</t>
  </si>
  <si>
    <t>876-130840</t>
  </si>
  <si>
    <t>876-127750</t>
  </si>
  <si>
    <t>876-128519</t>
  </si>
  <si>
    <t>876-129307</t>
  </si>
  <si>
    <t>876-127730</t>
  </si>
  <si>
    <t>876-127819</t>
  </si>
  <si>
    <t>876-130936</t>
  </si>
  <si>
    <t>876-128329</t>
  </si>
  <si>
    <t>876-130238</t>
  </si>
  <si>
    <t>876-128507</t>
  </si>
  <si>
    <t>876-130480</t>
  </si>
  <si>
    <t>876-127737</t>
  </si>
  <si>
    <t>876-128896</t>
  </si>
  <si>
    <t>876-129931</t>
  </si>
  <si>
    <t>876-129598</t>
  </si>
  <si>
    <t>876-131042</t>
  </si>
  <si>
    <t>876-130833</t>
  </si>
  <si>
    <t>876-111375</t>
  </si>
  <si>
    <t>876-129520</t>
  </si>
  <si>
    <t>876-128058</t>
  </si>
  <si>
    <t>876-127594</t>
  </si>
  <si>
    <t>876-128485</t>
  </si>
  <si>
    <t>Gedis sayi</t>
  </si>
  <si>
    <t>Musteri sayi</t>
  </si>
  <si>
    <t>Umumi gelir</t>
  </si>
  <si>
    <t>orta günlük aktiv qalma saati</t>
  </si>
  <si>
    <t>Suruculer</t>
  </si>
  <si>
    <t>Kategoriya</t>
  </si>
  <si>
    <t>Bonus</t>
  </si>
  <si>
    <t>Novbeti gedis plani</t>
  </si>
  <si>
    <t>gunluk_orta_gedis_sayi</t>
  </si>
  <si>
    <t>gunluk_orta_gedis_mesafesi</t>
  </si>
  <si>
    <t>kampaniya</t>
  </si>
  <si>
    <t>&lt;1</t>
  </si>
  <si>
    <t>&gt;11</t>
  </si>
  <si>
    <t>1-3</t>
  </si>
  <si>
    <t>3-5</t>
  </si>
  <si>
    <t>5-7</t>
  </si>
  <si>
    <t>7-9</t>
  </si>
  <si>
    <t>9-11</t>
  </si>
  <si>
    <t>Q1</t>
  </si>
  <si>
    <t>Q3</t>
  </si>
  <si>
    <t>IQR</t>
  </si>
  <si>
    <t>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</si>
</sst>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₼&quot;;\-#,##0.00\ &quot;₼&quot;;#,##0.00\ &quot;₼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pivotButton="1"/>
    <xf numFmtId="0" fontId="1" fillId="2" borderId="0" xfId="0" applyFont="1" applyFill="1"/>
    <xf numFmtId="14" fontId="1" fillId="2" borderId="2" xfId="0" applyNumberFormat="1" applyFont="1" applyFill="1" applyBorder="1"/>
    <xf numFmtId="2" fontId="1" fillId="2" borderId="3" xfId="0" applyNumberFormat="1" applyFont="1" applyFill="1" applyBorder="1"/>
    <xf numFmtId="0" fontId="0" fillId="0" borderId="1" xfId="0" pivotButton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134">
    <dxf>
      <fill>
        <patternFill>
          <bgColor rgb="FFFF00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28.456138541667" createdVersion="8" refreshedVersion="8" minRefreshableVersion="3" recordCount="0" supportSubquery="1" supportAdvancedDrill="1" xr:uid="{A0FE4ADF-2B9F-4F62-8D2F-54FD826061C2}">
  <cacheSource type="external" connectionId="2"/>
  <cacheFields count="3">
    <cacheField name="[Yellow taxi 13-19 February 2023].[customerID].[customerID]" caption="customerID" numFmtId="0" hierarchy="4" level="1">
      <sharedItems count="871">
        <s v="876-111123"/>
        <s v="876-111135"/>
        <s v="876-111138"/>
        <s v="876-111167"/>
        <s v="876-111174"/>
        <s v="876-111193"/>
        <s v="876-111196"/>
        <s v="876-111197"/>
        <s v="876-111198"/>
        <s v="876-111210"/>
        <s v="876-111218"/>
        <s v="876-111225"/>
        <s v="876-111231"/>
        <s v="876-111232"/>
        <s v="876-111236"/>
        <s v="876-111245"/>
        <s v="876-111246"/>
        <s v="876-111251"/>
        <s v="876-111260"/>
        <s v="876-111269"/>
        <s v="876-111270"/>
        <s v="876-111273"/>
        <s v="876-111281"/>
        <s v="876-111284"/>
        <s v="876-111308"/>
        <s v="876-111316"/>
        <s v="876-111343"/>
        <s v="876-111346"/>
        <s v="876-111355"/>
        <s v="876-111364"/>
        <s v="876-111375"/>
        <s v="876-111378"/>
        <s v="876-111383"/>
        <s v="876-111387"/>
        <s v="876-111393"/>
        <s v="876-111403"/>
        <s v="876-111416"/>
        <s v="876-111423"/>
        <s v="876-111425"/>
        <s v="876-111439"/>
        <s v="876-111444"/>
        <s v="876-111458"/>
        <s v="876-111463"/>
        <s v="876-111465"/>
        <s v="876-111469"/>
        <s v="876-111485"/>
        <s v="876-111492"/>
        <s v="876-111495"/>
        <s v="876-111498"/>
        <s v="876-111501"/>
        <s v="876-111509"/>
        <s v="876-111510"/>
        <s v="876-111524"/>
        <s v="876-111528"/>
        <s v="876-111534"/>
        <s v="876-111537"/>
        <s v="876-111546"/>
        <s v="876-111551"/>
        <s v="876-111552"/>
        <s v="876-111559"/>
        <s v="876-111566"/>
        <s v="876-111573"/>
        <s v="876-111584"/>
        <s v="876-111593"/>
        <s v="876-111595"/>
        <s v="876-111605"/>
        <s v="876-111606"/>
        <s v="876-111615"/>
        <s v="876-111620"/>
        <s v="876-111626"/>
        <s v="876-111632"/>
        <s v="876-111633"/>
        <s v="876-111637"/>
        <s v="876-111643"/>
        <s v="876-111657"/>
        <s v="876-111659"/>
        <s v="876-111664"/>
        <s v="876-111673"/>
        <s v="876-111682"/>
        <s v="876-111684"/>
        <s v="876-111685"/>
        <s v="876-111698"/>
        <s v="876-111704"/>
        <s v="876-111706"/>
        <s v="876-111711"/>
        <s v="876-111724"/>
        <s v="876-111725"/>
        <s v="876-111736"/>
        <s v="876-111742"/>
        <s v="876-127122"/>
        <s v="876-127123"/>
        <s v="876-127135"/>
        <s v="876-127146"/>
        <s v="876-127151"/>
        <s v="876-127156"/>
        <s v="876-127157"/>
        <s v="876-127161"/>
        <s v="876-127163"/>
        <s v="876-127170"/>
        <s v="876-127173"/>
        <s v="876-127181"/>
        <s v="876-127193"/>
        <s v="876-127209"/>
        <s v="876-127210"/>
        <s v="876-127215"/>
        <s v="876-127219"/>
        <s v="876-127236"/>
        <s v="876-127237"/>
        <s v="876-127244"/>
        <s v="876-127256"/>
        <s v="876-127259"/>
        <s v="876-127263"/>
        <s v="876-127264"/>
        <s v="876-127273"/>
        <s v="876-127277"/>
        <s v="876-127278"/>
        <s v="876-127279"/>
        <s v="876-127280"/>
        <s v="876-127282"/>
        <s v="876-127285"/>
        <s v="876-127287"/>
        <s v="876-127289"/>
        <s v="876-127295"/>
        <s v="876-127303"/>
        <s v="876-127311"/>
        <s v="876-127316"/>
        <s v="876-127323"/>
        <s v="876-127331"/>
        <s v="876-127334"/>
        <s v="876-127349"/>
        <s v="876-127351"/>
        <s v="876-127354"/>
        <s v="876-127365"/>
        <s v="876-127369"/>
        <s v="876-127373"/>
        <s v="876-127374"/>
        <s v="876-127376"/>
        <s v="876-127380"/>
        <s v="876-127397"/>
        <s v="876-127401"/>
        <s v="876-127407"/>
        <s v="876-127410"/>
        <s v="876-127416"/>
        <s v="876-127418"/>
        <s v="876-127423"/>
        <s v="876-127432"/>
        <s v="876-127434"/>
        <s v="876-127439"/>
        <s v="876-127443"/>
        <s v="876-127445"/>
        <s v="876-127449"/>
        <s v="876-127451"/>
        <s v="876-127455"/>
        <s v="876-127462"/>
        <s v="876-127469"/>
        <s v="876-127476"/>
        <s v="876-127480"/>
        <s v="876-127492"/>
        <s v="876-127504"/>
        <s v="876-127506"/>
        <s v="876-127513"/>
        <s v="876-127515"/>
        <s v="876-127520"/>
        <s v="876-127521"/>
        <s v="876-127522"/>
        <s v="876-127525"/>
        <s v="876-127526"/>
        <s v="876-127528"/>
        <s v="876-127533"/>
        <s v="876-127547"/>
        <s v="876-127548"/>
        <s v="876-127550"/>
        <s v="876-127558"/>
        <s v="876-127559"/>
        <s v="876-127563"/>
        <s v="876-127567"/>
        <s v="876-127568"/>
        <s v="876-127571"/>
        <s v="876-127573"/>
        <s v="876-127578"/>
        <s v="876-127586"/>
        <s v="876-127587"/>
        <s v="876-127594"/>
        <s v="876-127599"/>
        <s v="876-127600"/>
        <s v="876-127601"/>
        <s v="876-127614"/>
        <s v="876-127617"/>
        <s v="876-127618"/>
        <s v="876-127629"/>
        <s v="876-127639"/>
        <s v="876-127644"/>
        <s v="876-127648"/>
        <s v="876-127653"/>
        <s v="876-127668"/>
        <s v="876-127685"/>
        <s v="876-127695"/>
        <s v="876-127706"/>
        <s v="876-127709"/>
        <s v="876-127717"/>
        <s v="876-127718"/>
        <s v="876-127723"/>
        <s v="876-127724"/>
        <s v="876-127729"/>
        <s v="876-127730"/>
        <s v="876-127737"/>
        <s v="876-127740"/>
        <s v="876-127742"/>
        <s v="876-127750"/>
        <s v="876-127751"/>
        <s v="876-127754"/>
        <s v="876-127763"/>
        <s v="876-127767"/>
        <s v="876-127771"/>
        <s v="876-127780"/>
        <s v="876-127786"/>
        <s v="876-127794"/>
        <s v="876-127798"/>
        <s v="876-127812"/>
        <s v="876-127819"/>
        <s v="876-127825"/>
        <s v="876-127826"/>
        <s v="876-127843"/>
        <s v="876-127856"/>
        <s v="876-127862"/>
        <s v="876-127864"/>
        <s v="876-127870"/>
        <s v="876-127876"/>
        <s v="876-127888"/>
        <s v="876-127894"/>
        <s v="876-127897"/>
        <s v="876-127901"/>
        <s v="876-127903"/>
        <s v="876-127906"/>
        <s v="876-127907"/>
        <s v="876-127915"/>
        <s v="876-127917"/>
        <s v="876-127922"/>
        <s v="876-127925"/>
        <s v="876-127931"/>
        <s v="876-127935"/>
        <s v="876-127946"/>
        <s v="876-127957"/>
        <s v="876-127959"/>
        <s v="876-127960"/>
        <s v="876-127969"/>
        <s v="876-127973"/>
        <s v="876-127974"/>
        <s v="876-127979"/>
        <s v="876-127981"/>
        <s v="876-127984"/>
        <s v="876-127994"/>
        <s v="876-128014"/>
        <s v="876-128022"/>
        <s v="876-128026"/>
        <s v="876-128030"/>
        <s v="876-128034"/>
        <s v="876-128058"/>
        <s v="876-128060"/>
        <s v="876-128063"/>
        <s v="876-128068"/>
        <s v="876-128071"/>
        <s v="876-128084"/>
        <s v="876-128085"/>
        <s v="876-128088"/>
        <s v="876-128103"/>
        <s v="876-128108"/>
        <s v="876-128109"/>
        <s v="876-128113"/>
        <s v="876-128118"/>
        <s v="876-128119"/>
        <s v="876-128129"/>
        <s v="876-128134"/>
        <s v="876-128140"/>
        <s v="876-128142"/>
        <s v="876-128147"/>
        <s v="876-128152"/>
        <s v="876-128157"/>
        <s v="876-128162"/>
        <s v="876-128165"/>
        <s v="876-128173"/>
        <s v="876-128174"/>
        <s v="876-128179"/>
        <s v="876-128182"/>
        <s v="876-128185"/>
        <s v="876-128186"/>
        <s v="876-128194"/>
        <s v="876-128200"/>
        <s v="876-128203"/>
        <s v="876-128211"/>
        <s v="876-128215"/>
        <s v="876-128216"/>
        <s v="876-128218"/>
        <s v="876-128223"/>
        <s v="876-128226"/>
        <s v="876-128239"/>
        <s v="876-128244"/>
        <s v="876-128245"/>
        <s v="876-128246"/>
        <s v="876-128247"/>
        <s v="876-128258"/>
        <s v="876-128270"/>
        <s v="876-128273"/>
        <s v="876-128281"/>
        <s v="876-128283"/>
        <s v="876-128296"/>
        <s v="876-128300"/>
        <s v="876-128301"/>
        <s v="876-128317"/>
        <s v="876-128329"/>
        <s v="876-128331"/>
        <s v="876-128338"/>
        <s v="876-128343"/>
        <s v="876-128346"/>
        <s v="876-128352"/>
        <s v="876-128353"/>
        <s v="876-128368"/>
        <s v="876-128372"/>
        <s v="876-128375"/>
        <s v="876-128377"/>
        <s v="876-128390"/>
        <s v="876-128395"/>
        <s v="876-128403"/>
        <s v="876-128406"/>
        <s v="876-128408"/>
        <s v="876-128415"/>
        <s v="876-128420"/>
        <s v="876-128421"/>
        <s v="876-128426"/>
        <s v="876-128428"/>
        <s v="876-128431"/>
        <s v="876-128437"/>
        <s v="876-128447"/>
        <s v="876-128448"/>
        <s v="876-128457"/>
        <s v="876-128458"/>
        <s v="876-128463"/>
        <s v="876-128470"/>
        <s v="876-128476"/>
        <s v="876-128485"/>
        <s v="876-128488"/>
        <s v="876-128489"/>
        <s v="876-128492"/>
        <s v="876-128493"/>
        <s v="876-128496"/>
        <s v="876-128497"/>
        <s v="876-128507"/>
        <s v="876-128511"/>
        <s v="876-128518"/>
        <s v="876-128519"/>
        <s v="876-128520"/>
        <s v="876-128525"/>
        <s v="876-128526"/>
        <s v="876-128528"/>
        <s v="876-128540"/>
        <s v="876-128546"/>
        <s v="876-128547"/>
        <s v="876-128564"/>
        <s v="876-128568"/>
        <s v="876-128572"/>
        <s v="876-128574"/>
        <s v="876-128580"/>
        <s v="876-128581"/>
        <s v="876-128587"/>
        <s v="876-128593"/>
        <s v="876-128595"/>
        <s v="876-128611"/>
        <s v="876-128614"/>
        <s v="876-128617"/>
        <s v="876-128641"/>
        <s v="876-128645"/>
        <s v="876-128656"/>
        <s v="876-128661"/>
        <s v="876-128670"/>
        <s v="876-128673"/>
        <s v="876-128676"/>
        <s v="876-128679"/>
        <s v="876-128690"/>
        <s v="876-128691"/>
        <s v="876-128698"/>
        <s v="876-128708"/>
        <s v="876-128713"/>
        <s v="876-128721"/>
        <s v="876-128722"/>
        <s v="876-128728"/>
        <s v="876-128734"/>
        <s v="876-128735"/>
        <s v="876-128737"/>
        <s v="876-128745"/>
        <s v="876-128749"/>
        <s v="876-128768"/>
        <s v="876-128769"/>
        <s v="876-128770"/>
        <s v="876-128776"/>
        <s v="876-128778"/>
        <s v="876-128783"/>
        <s v="876-128792"/>
        <s v="876-128794"/>
        <s v="876-128799"/>
        <s v="876-128809"/>
        <s v="876-128814"/>
        <s v="876-128825"/>
        <s v="876-128831"/>
        <s v="876-128836"/>
        <s v="876-128839"/>
        <s v="876-128840"/>
        <s v="876-128845"/>
        <s v="876-128854"/>
        <s v="876-128855"/>
        <s v="876-128862"/>
        <s v="876-128866"/>
        <s v="876-128883"/>
        <s v="876-128887"/>
        <s v="876-128890"/>
        <s v="876-128896"/>
        <s v="876-128898"/>
        <s v="876-128904"/>
        <s v="876-128925"/>
        <s v="876-128928"/>
        <s v="876-128929"/>
        <s v="876-128936"/>
        <s v="876-128937"/>
        <s v="876-128938"/>
        <s v="876-128939"/>
        <s v="876-128941"/>
        <s v="876-128944"/>
        <s v="876-128947"/>
        <s v="876-128950"/>
        <s v="876-128954"/>
        <s v="876-128955"/>
        <s v="876-128967"/>
        <s v="876-128973"/>
        <s v="876-128975"/>
        <s v="876-128978"/>
        <s v="876-128999"/>
        <s v="876-129001"/>
        <s v="876-129003"/>
        <s v="876-129015"/>
        <s v="876-129017"/>
        <s v="876-129020"/>
        <s v="876-129021"/>
        <s v="876-129022"/>
        <s v="876-129026"/>
        <s v="876-129027"/>
        <s v="876-129030"/>
        <s v="876-129032"/>
        <s v="876-129045"/>
        <s v="876-129046"/>
        <s v="876-129048"/>
        <s v="876-129050"/>
        <s v="876-129055"/>
        <s v="876-129066"/>
        <s v="876-129067"/>
        <s v="876-129070"/>
        <s v="876-129072"/>
        <s v="876-129078"/>
        <s v="876-129082"/>
        <s v="876-129093"/>
        <s v="876-129094"/>
        <s v="876-129098"/>
        <s v="876-129105"/>
        <s v="876-129107"/>
        <s v="876-129116"/>
        <s v="876-129120"/>
        <s v="876-129132"/>
        <s v="876-129154"/>
        <s v="876-129156"/>
        <s v="876-129161"/>
        <s v="876-129167"/>
        <s v="876-129169"/>
        <s v="876-129170"/>
        <s v="876-129178"/>
        <s v="876-129180"/>
        <s v="876-129181"/>
        <s v="876-129183"/>
        <s v="876-129186"/>
        <s v="876-129194"/>
        <s v="876-129208"/>
        <s v="876-129212"/>
        <s v="876-129234"/>
        <s v="876-129242"/>
        <s v="876-129243"/>
        <s v="876-129248"/>
        <s v="876-129252"/>
        <s v="876-129271"/>
        <s v="876-129273"/>
        <s v="876-129276"/>
        <s v="876-129289"/>
        <s v="876-129291"/>
        <s v="876-129292"/>
        <s v="876-129295"/>
        <s v="876-129307"/>
        <s v="876-129308"/>
        <s v="876-129309"/>
        <s v="876-129324"/>
        <s v="876-129326"/>
        <s v="876-129331"/>
        <s v="876-129335"/>
        <s v="876-129347"/>
        <s v="876-129349"/>
        <s v="876-129356"/>
        <s v="876-129377"/>
        <s v="876-129378"/>
        <s v="876-129387"/>
        <s v="876-129391"/>
        <s v="876-129397"/>
        <s v="876-129413"/>
        <s v="876-129414"/>
        <s v="876-129423"/>
        <s v="876-129428"/>
        <s v="876-129431"/>
        <s v="876-129435"/>
        <s v="876-129441"/>
        <s v="876-129442"/>
        <s v="876-129450"/>
        <s v="876-129454"/>
        <s v="876-129455"/>
        <s v="876-129462"/>
        <s v="876-129465"/>
        <s v="876-129468"/>
        <s v="876-129483"/>
        <s v="876-129485"/>
        <s v="876-129486"/>
        <s v="876-129492"/>
        <s v="876-129497"/>
        <s v="876-129508"/>
        <s v="876-129511"/>
        <s v="876-129515"/>
        <s v="876-129518"/>
        <s v="876-129520"/>
        <s v="876-129521"/>
        <s v="876-129525"/>
        <s v="876-129544"/>
        <s v="876-129545"/>
        <s v="876-129548"/>
        <s v="876-129553"/>
        <s v="876-129558"/>
        <s v="876-129560"/>
        <s v="876-129563"/>
        <s v="876-129572"/>
        <s v="876-129574"/>
        <s v="876-129578"/>
        <s v="876-129579"/>
        <s v="876-129581"/>
        <s v="876-129588"/>
        <s v="876-129590"/>
        <s v="876-129598"/>
        <s v="876-129605"/>
        <s v="876-129608"/>
        <s v="876-129615"/>
        <s v="876-129630"/>
        <s v="876-129631"/>
        <s v="876-129633"/>
        <s v="876-129636"/>
        <s v="876-129640"/>
        <s v="876-129672"/>
        <s v="876-129674"/>
        <s v="876-129679"/>
        <s v="876-129680"/>
        <s v="876-129698"/>
        <s v="876-129701"/>
        <s v="876-129705"/>
        <s v="876-129707"/>
        <s v="876-129712"/>
        <s v="876-129718"/>
        <s v="876-129723"/>
        <s v="876-129726"/>
        <s v="876-129730"/>
        <s v="876-129737"/>
        <s v="876-129738"/>
        <s v="876-129740"/>
        <s v="876-129744"/>
        <s v="876-129748"/>
        <s v="876-129749"/>
        <s v="876-129752"/>
        <s v="876-129758"/>
        <s v="876-129760"/>
        <s v="876-129765"/>
        <s v="876-129767"/>
        <s v="876-129778"/>
        <s v="876-129780"/>
        <s v="876-129782"/>
        <s v="876-129786"/>
        <s v="876-129787"/>
        <s v="876-129799"/>
        <s v="876-129807"/>
        <s v="876-129808"/>
        <s v="876-129809"/>
        <s v="876-129811"/>
        <s v="876-129823"/>
        <s v="876-129824"/>
        <s v="876-129825"/>
        <s v="876-129828"/>
        <s v="876-129833"/>
        <s v="876-129836"/>
        <s v="876-129838"/>
        <s v="876-129847"/>
        <s v="876-129849"/>
        <s v="876-129853"/>
        <s v="876-129855"/>
        <s v="876-129863"/>
        <s v="876-129870"/>
        <s v="876-129872"/>
        <s v="876-129875"/>
        <s v="876-129883"/>
        <s v="876-129889"/>
        <s v="876-129899"/>
        <s v="876-129901"/>
        <s v="876-129904"/>
        <s v="876-129909"/>
        <s v="876-129921"/>
        <s v="876-129928"/>
        <s v="876-129931"/>
        <s v="876-129937"/>
        <s v="876-129940"/>
        <s v="876-129943"/>
        <s v="876-129951"/>
        <s v="876-129953"/>
        <s v="876-129959"/>
        <s v="876-129979"/>
        <s v="876-129990"/>
        <s v="876-129992"/>
        <s v="876-129994"/>
        <s v="876-129996"/>
        <s v="876-130004"/>
        <s v="876-130009"/>
        <s v="876-130012"/>
        <s v="876-130013"/>
        <s v="876-130017"/>
        <s v="876-130019"/>
        <s v="876-130021"/>
        <s v="876-130026"/>
        <s v="876-130027"/>
        <s v="876-130030"/>
        <s v="876-130049"/>
        <s v="876-130054"/>
        <s v="876-130057"/>
        <s v="876-130059"/>
        <s v="876-130062"/>
        <s v="876-130065"/>
        <s v="876-130066"/>
        <s v="876-130068"/>
        <s v="876-130072"/>
        <s v="876-130073"/>
        <s v="876-130080"/>
        <s v="876-130083"/>
        <s v="876-130086"/>
        <s v="876-130091"/>
        <s v="876-130096"/>
        <s v="876-130097"/>
        <s v="876-130099"/>
        <s v="876-130104"/>
        <s v="876-130108"/>
        <s v="876-130117"/>
        <s v="876-130119"/>
        <s v="876-130126"/>
        <s v="876-130130"/>
        <s v="876-130132"/>
        <s v="876-130138"/>
        <s v="876-130154"/>
        <s v="876-130155"/>
        <s v="876-130156"/>
        <s v="876-130176"/>
        <s v="876-130185"/>
        <s v="876-130188"/>
        <s v="876-130199"/>
        <s v="876-130209"/>
        <s v="876-130211"/>
        <s v="876-130212"/>
        <s v="876-130220"/>
        <s v="876-130222"/>
        <s v="876-130223"/>
        <s v="876-130225"/>
        <s v="876-130228"/>
        <s v="876-130232"/>
        <s v="876-130238"/>
        <s v="876-130251"/>
        <s v="876-130256"/>
        <s v="876-130258"/>
        <s v="876-130264"/>
        <s v="876-130271"/>
        <s v="876-130284"/>
        <s v="876-130287"/>
        <s v="876-130289"/>
        <s v="876-130291"/>
        <s v="876-130296"/>
        <s v="876-130299"/>
        <s v="876-130302"/>
        <s v="876-130310"/>
        <s v="876-130315"/>
        <s v="876-130317"/>
        <s v="876-130319"/>
        <s v="876-130321"/>
        <s v="876-130322"/>
        <s v="876-130329"/>
        <s v="876-130340"/>
        <s v="876-130341"/>
        <s v="876-130343"/>
        <s v="876-130355"/>
        <s v="876-130366"/>
        <s v="876-130372"/>
        <s v="876-130387"/>
        <s v="876-130398"/>
        <s v="876-130423"/>
        <s v="876-130424"/>
        <s v="876-130425"/>
        <s v="876-130429"/>
        <s v="876-130433"/>
        <s v="876-130436"/>
        <s v="876-130439"/>
        <s v="876-130440"/>
        <s v="876-130454"/>
        <s v="876-130458"/>
        <s v="876-130460"/>
        <s v="876-130467"/>
        <s v="876-130471"/>
        <s v="876-130473"/>
        <s v="876-130478"/>
        <s v="876-130480"/>
        <s v="876-130495"/>
        <s v="876-130500"/>
        <s v="876-130502"/>
        <s v="876-130507"/>
        <s v="876-130508"/>
        <s v="876-130512"/>
        <s v="876-130517"/>
        <s v="876-130520"/>
        <s v="876-130525"/>
        <s v="876-130528"/>
        <s v="876-130538"/>
        <s v="876-130557"/>
        <s v="876-130563"/>
        <s v="876-130568"/>
        <s v="876-130577"/>
        <s v="876-130583"/>
        <s v="876-130594"/>
        <s v="876-130599"/>
        <s v="876-130617"/>
        <s v="876-130619"/>
        <s v="876-130624"/>
        <s v="876-130627"/>
        <s v="876-130632"/>
        <s v="876-130645"/>
        <s v="876-130651"/>
        <s v="876-130653"/>
        <s v="876-130663"/>
        <s v="876-130665"/>
        <s v="876-130666"/>
        <s v="876-130667"/>
        <s v="876-130668"/>
        <s v="876-130669"/>
        <s v="876-130693"/>
        <s v="876-130697"/>
        <s v="876-130699"/>
        <s v="876-130708"/>
        <s v="876-130715"/>
        <s v="876-130716"/>
        <s v="876-130725"/>
        <s v="876-130726"/>
        <s v="876-130753"/>
        <s v="876-130758"/>
        <s v="876-130772"/>
        <s v="876-130777"/>
        <s v="876-130779"/>
        <s v="876-130783"/>
        <s v="876-130784"/>
        <s v="876-130786"/>
        <s v="876-130788"/>
        <s v="876-130790"/>
        <s v="876-130795"/>
        <s v="876-130797"/>
        <s v="876-130799"/>
        <s v="876-130806"/>
        <s v="876-130813"/>
        <s v="876-130815"/>
        <s v="876-130817"/>
        <s v="876-130828"/>
        <s v="876-130833"/>
        <s v="876-130835"/>
        <s v="876-130840"/>
        <s v="876-130845"/>
        <s v="876-130847"/>
        <s v="876-130849"/>
        <s v="876-130850"/>
        <s v="876-130852"/>
        <s v="876-130857"/>
        <s v="876-130864"/>
        <s v="876-130865"/>
        <s v="876-130868"/>
        <s v="876-130869"/>
        <s v="876-130873"/>
        <s v="876-130876"/>
        <s v="876-130880"/>
        <s v="876-130882"/>
        <s v="876-130891"/>
        <s v="876-130901"/>
        <s v="876-130904"/>
        <s v="876-130912"/>
        <s v="876-130920"/>
        <s v="876-130925"/>
        <s v="876-130928"/>
        <s v="876-130929"/>
        <s v="876-130931"/>
        <s v="876-130933"/>
        <s v="876-130934"/>
        <s v="876-130936"/>
        <s v="876-130938"/>
        <s v="876-130939"/>
        <s v="876-130941"/>
        <s v="876-130945"/>
        <s v="876-130953"/>
        <s v="876-130958"/>
        <s v="876-130961"/>
        <s v="876-130965"/>
        <s v="876-130969"/>
        <s v="876-130970"/>
        <s v="876-130971"/>
        <s v="876-130973"/>
        <s v="876-130978"/>
        <s v="876-130985"/>
        <s v="876-130989"/>
        <s v="876-130994"/>
        <s v="876-130996"/>
        <s v="876-130997"/>
        <s v="876-131004"/>
        <s v="876-131005"/>
        <s v="876-131008"/>
        <s v="876-131019"/>
        <s v="876-131023"/>
        <s v="876-131025"/>
        <s v="876-131038"/>
        <s v="876-131042"/>
        <s v="876-131052"/>
        <s v="876-131055"/>
        <s v="876-131061"/>
        <s v="876-131065"/>
        <s v="876-131072"/>
        <s v="876-131076"/>
        <s v="876-131085"/>
        <s v="876-131086"/>
        <s v="876-131090"/>
        <s v="876-131092"/>
        <s v="876-131104"/>
        <s v="876-131108"/>
        <s v="876-131111"/>
        <s v="876-131115"/>
        <s v="876-131119"/>
        <s v="876-131121"/>
        <s v="876-131123"/>
        <s v="876-131126"/>
        <s v="876-131128"/>
        <s v="876-131129"/>
        <s v="876-131135"/>
        <s v="876-131140"/>
        <s v="876-131145"/>
        <s v="876-131148"/>
        <s v="876-131149"/>
        <s v="876-131153"/>
        <s v="876-131169"/>
        <s v="876-131172"/>
        <s v="876-131174"/>
        <s v="876-131176"/>
        <s v="876-131186"/>
        <s v="876-131190"/>
        <s v="876-131195"/>
        <s v="876-131222"/>
        <s v="876-131223"/>
        <s v="876-131224"/>
        <s v="876-131227"/>
        <s v="876-131232"/>
        <s v="876-131233"/>
      </sharedItems>
    </cacheField>
    <cacheField name="[Measures].[gunluk_orta_gedis_sayi]" caption="gunluk_orta_gedis_sayi" numFmtId="0" hierarchy="17" level="32767"/>
    <cacheField name="[Measures].[gunluk_orta_gedis_mesafesi]" caption="gunluk_orta_gedis_mesafesi" numFmtId="0" hierarchy="18" level="32767"/>
  </cacheFields>
  <cacheHierarchies count="27">
    <cacheHierarchy uniqueName="[Yellow taxi 13-19 February 2023].[date]" caption="date" attribute="1" time="1" defaultMemberUniqueName="[Yellow taxi 13-19 February 2023].[date].[All]" allUniqueName="[Yellow taxi 13-19 February 2023].[date].[All]" dimensionUniqueName="[Yellow taxi 13-19 February 2023]" displayFolder="" count="0" memberValueDatatype="7" unbalanced="0"/>
    <cacheHierarchy uniqueName="[Yellow taxi 13-19 February 2023].[pickup]" caption="pickup" attribute="1" time="1" defaultMemberUniqueName="[Yellow taxi 13-19 February 2023].[pickup].[All]" allUniqueName="[Yellow taxi 13-19 February 2023].[pickup].[All]" dimensionUniqueName="[Yellow taxi 13-19 February 2023]" displayFolder="" count="0" memberValueDatatype="7" unbalanced="0"/>
    <cacheHierarchy uniqueName="[Yellow taxi 13-19 February 2023].[dropoff]" caption="dropoff" attribute="1" time="1" defaultMemberUniqueName="[Yellow taxi 13-19 February 2023].[dropoff].[All]" allUniqueName="[Yellow taxi 13-19 February 2023].[dropoff].[All]" dimensionUniqueName="[Yellow taxi 13-19 February 2023]" displayFolder="" count="0" memberValueDatatype="7" unbalanced="0"/>
    <cacheHierarchy uniqueName="[Yellow taxi 13-19 February 2023].[driverID]" caption="driverID" attribute="1" defaultMemberUniqueName="[Yellow taxi 13-19 February 2023].[driverID].[All]" allUniqueName="[Yellow taxi 13-19 February 2023].[driverID].[All]" dimensionUniqueName="[Yellow taxi 13-19 February 2023]" displayFolder="" count="0" memberValueDatatype="130" unbalanced="0"/>
    <cacheHierarchy uniqueName="[Yellow taxi 13-19 February 2023].[customerID]" caption="customerID" attribute="1" defaultMemberUniqueName="[Yellow taxi 13-19 February 2023].[customerID].[All]" allUniqueName="[Yellow taxi 13-19 February 2023].[customerID].[All]" dimensionUniqueName="[Yellow taxi 13-19 February 2023]" displayFolder="" count="2" memberValueDatatype="130" unbalanced="0">
      <fieldsUsage count="2">
        <fieldUsage x="-1"/>
        <fieldUsage x="0"/>
      </fieldsUsage>
    </cacheHierarchy>
    <cacheHierarchy uniqueName="[Yellow taxi 13-19 February 2023].[passenger count]" caption="passenger count" attribute="1" defaultMemberUniqueName="[Yellow taxi 13-19 February 2023].[passenger count].[All]" allUniqueName="[Yellow taxi 13-19 February 2023].[passenger count].[All]" dimensionUniqueName="[Yellow taxi 13-19 February 2023]" displayFolder="" count="0" memberValueDatatype="20" unbalanced="0"/>
    <cacheHierarchy uniqueName="[Yellow taxi 13-19 February 2023].[trip distance]" caption="trip distance" attribute="1" defaultMemberUniqueName="[Yellow taxi 13-19 February 2023].[trip distance].[All]" allUniqueName="[Yellow taxi 13-19 February 2023].[trip distance].[All]" dimensionUniqueName="[Yellow taxi 13-19 February 2023]" displayFolder="" count="0" memberValueDatatype="5" unbalanced="0"/>
    <cacheHierarchy uniqueName="[Yellow taxi 13-19 February 2023].[group_distance]" caption="group_distance" attribute="1" defaultMemberUniqueName="[Yellow taxi 13-19 February 2023].[group_distance].[All]" allUniqueName="[Yellow taxi 13-19 February 2023].[group_distance].[All]" dimensionUniqueName="[Yellow taxi 13-19 February 2023]" displayFolder="" count="0" memberValueDatatype="130" unbalanced="0"/>
    <cacheHierarchy uniqueName="[Yellow taxi 13-19 February 2023].[rate codeID]" caption="rate codeID" attribute="1" defaultMemberUniqueName="[Yellow taxi 13-19 February 2023].[rate codeID].[All]" allUniqueName="[Yellow taxi 13-19 February 2023].[rate codeID].[All]" dimensionUniqueName="[Yellow taxi 13-19 February 2023]" displayFolder="" count="0" memberValueDatatype="20" unbalanced="0"/>
    <cacheHierarchy uniqueName="[Yellow taxi 13-19 February 2023].[store and fwd flag]" caption="store and fwd flag" attribute="1" defaultMemberUniqueName="[Yellow taxi 13-19 February 2023].[store and fwd flag].[All]" allUniqueName="[Yellow taxi 13-19 February 2023].[store and fwd flag].[All]" dimensionUniqueName="[Yellow taxi 13-19 February 2023]" displayFolder="" count="0" memberValueDatatype="130" unbalanced="0"/>
    <cacheHierarchy uniqueName="[Yellow taxi 13-19 February 2023].[payment type]" caption="payment type" attribute="1" defaultMemberUniqueName="[Yellow taxi 13-19 February 2023].[payment type].[All]" allUniqueName="[Yellow taxi 13-19 February 2023].[payment type].[All]" dimensionUniqueName="[Yellow taxi 13-19 February 2023]" displayFolder="" count="0" memberValueDatatype="20" unbalanced="0"/>
    <cacheHierarchy uniqueName="[Yellow taxi 13-19 February 2023].[fare amount]" caption="fare amount" attribute="1" defaultMemberUniqueName="[Yellow taxi 13-19 February 2023].[fare amount].[All]" allUniqueName="[Yellow taxi 13-19 February 2023].[fare amount].[All]" dimensionUniqueName="[Yellow taxi 13-19 February 2023]" displayFolder="" count="0" memberValueDatatype="5" unbalanced="0"/>
    <cacheHierarchy uniqueName="[Yellow taxi 13-19 February 2023].[mta tax]" caption="mta tax" attribute="1" defaultMemberUniqueName="[Yellow taxi 13-19 February 2023].[mta tax].[All]" allUniqueName="[Yellow taxi 13-19 February 2023].[mta tax].[All]" dimensionUniqueName="[Yellow taxi 13-19 February 2023]" displayFolder="" count="0" memberValueDatatype="5" unbalanced="0"/>
    <cacheHierarchy uniqueName="[Yellow taxi 13-19 February 2023].[tip amount]" caption="tip amount" attribute="1" defaultMemberUniqueName="[Yellow taxi 13-19 February 2023].[tip amount].[All]" allUniqueName="[Yellow taxi 13-19 February 2023].[tip amount].[All]" dimensionUniqueName="[Yellow taxi 13-19 February 2023]" displayFolder="" count="0" memberValueDatatype="5" unbalanced="0"/>
    <cacheHierarchy uniqueName="[Yellow taxi 13-19 February 2023].[total amount]" caption="total amount" attribute="1" defaultMemberUniqueName="[Yellow taxi 13-19 February 2023].[total amount].[All]" allUniqueName="[Yellow taxi 13-19 February 2023].[total amount].[All]" dimensionUniqueName="[Yellow taxi 13-19 February 2023]" displayFolder="" count="0" memberValueDatatype="5" unbalanced="0"/>
    <cacheHierarchy uniqueName="[Yellow taxi 13-19 February 2023].[active_time_minutes]" caption="active_time_minutes" attribute="1" defaultMemberUniqueName="[Yellow taxi 13-19 February 2023].[active_time_minutes].[All]" allUniqueName="[Yellow taxi 13-19 February 2023].[active_time_minutes].[All]" dimensionUniqueName="[Yellow taxi 13-19 February 2023]" displayFolder="" count="0" memberValueDatatype="20" unbalanced="0"/>
    <cacheHierarchy uniqueName="[Measures].[avg_daily_time_hours]" caption="avg_daily_time_hours" measure="1" displayFolder="" measureGroup="Yellow taxi 13-19 February 2023" count="0"/>
    <cacheHierarchy uniqueName="[Measures].[gunluk_orta_gedis_sayi]" caption="gunluk_orta_gedis_sayi" measure="1" displayFolder="" measureGroup="Yellow taxi 13-19 February 2023" count="0" oneField="1">
      <fieldsUsage count="1">
        <fieldUsage x="1"/>
      </fieldsUsage>
    </cacheHierarchy>
    <cacheHierarchy uniqueName="[Measures].[gunluk_orta_gedis_mesafesi]" caption="gunluk_orta_gedis_mesafesi" measure="1" displayFolder="" measureGroup="Yellow taxi 13-19 February 2023" count="0" oneField="1">
      <fieldsUsage count="1">
        <fieldUsage x="2"/>
      </fieldsUsage>
    </cacheHierarchy>
    <cacheHierarchy uniqueName="[Measures].[__XL_Count Yellow taxi 13-19 February 2023]" caption="__XL_Count Yellow taxi 13-19 February 2023" measure="1" displayFolder="" measureGroup="Yellow taxi 13-19 February 2023" count="0" hidden="1"/>
    <cacheHierarchy uniqueName="[Measures].[__No measures defined]" caption="__No measures defined" measure="1" displayFolder="" count="0" hidden="1"/>
    <cacheHierarchy uniqueName="[Measures].[Sum of active_time_minutes]" caption="Sum of active_time_minutes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driverID]" caption="Count of driverID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ID]" caption="Count of customerID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amount]" caption="Sum of total amount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assenger count]" caption="Sum of passenger count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rip distance]" caption="Sum of trip distance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Yellow taxi 13-19 February 2023" uniqueName="[Yellow taxi 13-19 February 2023]" caption="Yellow taxi 13-19 February 2023"/>
  </dimensions>
  <measureGroups count="1">
    <measureGroup name="Yellow taxi 13-19 February 2023" caption="Yellow taxi 13-19 February 202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28.456139814814" createdVersion="8" refreshedVersion="8" minRefreshableVersion="3" recordCount="0" supportSubquery="1" supportAdvancedDrill="1" xr:uid="{E9E69D40-7F8C-4962-A80B-641FBDF5CF64}">
  <cacheSource type="external" connectionId="2"/>
  <cacheFields count="5">
    <cacheField name="[Yellow taxi 13-19 February 2023].[driverID].[driverID]" caption="driverID" numFmtId="0" hierarchy="3" level="1">
      <sharedItems count="54">
        <s v="S-1125"/>
        <s v="S-1163"/>
        <s v="S-1191"/>
        <s v="S-1227"/>
        <s v="S-1229"/>
        <s v="S-1341"/>
        <s v="S-1357"/>
        <s v="S-1379"/>
        <s v="S-1423"/>
        <s v="S-1477"/>
        <s v="S-1521"/>
        <s v="S-1539"/>
        <s v="S-1619"/>
        <s v="S-1655"/>
        <s v="S-1665"/>
        <s v="S-1671"/>
        <s v="S-1687"/>
        <s v="S-1695"/>
        <s v="S-1829"/>
        <s v="S-1935"/>
        <s v="S-1985"/>
        <s v="S-1993"/>
        <s v="S-1997"/>
        <s v="S-2045"/>
        <s v="S-2087"/>
        <s v="S-2101"/>
        <s v="S-2113"/>
        <s v="S-2135"/>
        <s v="S-2153"/>
        <s v="S-2163"/>
        <s v="S-2175"/>
        <s v="S-2255"/>
        <s v="S-2333"/>
        <s v="S-2341"/>
        <s v="S-2357"/>
        <s v="S-2361"/>
        <s v="S-2417"/>
        <s v="S-2511"/>
        <s v="S-2529"/>
        <s v="S-2541"/>
        <s v="S-2585"/>
        <s v="S-2587"/>
        <s v="S-2627"/>
        <s v="S-2683"/>
        <s v="S-2779"/>
        <s v="S-2785"/>
        <s v="S-2861"/>
        <s v="S-2903"/>
        <s v="S-2939"/>
        <s v="S-3007"/>
        <s v="S-3053"/>
        <s v="S-3067"/>
        <s v="S-3079"/>
        <s v="S-3103"/>
      </sharedItems>
    </cacheField>
    <cacheField name="[Measures].[Count of driverID]" caption="Count of driverID" numFmtId="0" hierarchy="22" level="32767"/>
    <cacheField name="[Measures].[Count of customerID]" caption="Count of customerID" numFmtId="0" hierarchy="23" level="32767"/>
    <cacheField name="[Measures].[Sum of total amount]" caption="Sum of total amount" numFmtId="0" hierarchy="24" level="32767"/>
    <cacheField name="[Measures].[avg_daily_time_hours]" caption="avg_daily_time_hours" numFmtId="0" hierarchy="16" level="32767"/>
  </cacheFields>
  <cacheHierarchies count="27">
    <cacheHierarchy uniqueName="[Yellow taxi 13-19 February 2023].[date]" caption="date" attribute="1" time="1" defaultMemberUniqueName="[Yellow taxi 13-19 February 2023].[date].[All]" allUniqueName="[Yellow taxi 13-19 February 2023].[date].[All]" dimensionUniqueName="[Yellow taxi 13-19 February 2023]" displayFolder="" count="0" memberValueDatatype="7" unbalanced="0"/>
    <cacheHierarchy uniqueName="[Yellow taxi 13-19 February 2023].[pickup]" caption="pickup" attribute="1" time="1" defaultMemberUniqueName="[Yellow taxi 13-19 February 2023].[pickup].[All]" allUniqueName="[Yellow taxi 13-19 February 2023].[pickup].[All]" dimensionUniqueName="[Yellow taxi 13-19 February 2023]" displayFolder="" count="0" memberValueDatatype="7" unbalanced="0"/>
    <cacheHierarchy uniqueName="[Yellow taxi 13-19 February 2023].[dropoff]" caption="dropoff" attribute="1" time="1" defaultMemberUniqueName="[Yellow taxi 13-19 February 2023].[dropoff].[All]" allUniqueName="[Yellow taxi 13-19 February 2023].[dropoff].[All]" dimensionUniqueName="[Yellow taxi 13-19 February 2023]" displayFolder="" count="0" memberValueDatatype="7" unbalanced="0"/>
    <cacheHierarchy uniqueName="[Yellow taxi 13-19 February 2023].[driverID]" caption="driverID" attribute="1" defaultMemberUniqueName="[Yellow taxi 13-19 February 2023].[driverID].[All]" allUniqueName="[Yellow taxi 13-19 February 2023].[driverID].[All]" dimensionUniqueName="[Yellow taxi 13-19 February 2023]" displayFolder="" count="2" memberValueDatatype="130" unbalanced="0">
      <fieldsUsage count="2">
        <fieldUsage x="-1"/>
        <fieldUsage x="0"/>
      </fieldsUsage>
    </cacheHierarchy>
    <cacheHierarchy uniqueName="[Yellow taxi 13-19 February 2023].[customerID]" caption="customerID" attribute="1" defaultMemberUniqueName="[Yellow taxi 13-19 February 2023].[customerID].[All]" allUniqueName="[Yellow taxi 13-19 February 2023].[customerID].[All]" dimensionUniqueName="[Yellow taxi 13-19 February 2023]" displayFolder="" count="0" memberValueDatatype="130" unbalanced="0"/>
    <cacheHierarchy uniqueName="[Yellow taxi 13-19 February 2023].[passenger count]" caption="passenger count" attribute="1" defaultMemberUniqueName="[Yellow taxi 13-19 February 2023].[passenger count].[All]" allUniqueName="[Yellow taxi 13-19 February 2023].[passenger count].[All]" dimensionUniqueName="[Yellow taxi 13-19 February 2023]" displayFolder="" count="0" memberValueDatatype="20" unbalanced="0"/>
    <cacheHierarchy uniqueName="[Yellow taxi 13-19 February 2023].[trip distance]" caption="trip distance" attribute="1" defaultMemberUniqueName="[Yellow taxi 13-19 February 2023].[trip distance].[All]" allUniqueName="[Yellow taxi 13-19 February 2023].[trip distance].[All]" dimensionUniqueName="[Yellow taxi 13-19 February 2023]" displayFolder="" count="0" memberValueDatatype="5" unbalanced="0"/>
    <cacheHierarchy uniqueName="[Yellow taxi 13-19 February 2023].[group_distance]" caption="group_distance" attribute="1" defaultMemberUniqueName="[Yellow taxi 13-19 February 2023].[group_distance].[All]" allUniqueName="[Yellow taxi 13-19 February 2023].[group_distance].[All]" dimensionUniqueName="[Yellow taxi 13-19 February 2023]" displayFolder="" count="0" memberValueDatatype="130" unbalanced="0"/>
    <cacheHierarchy uniqueName="[Yellow taxi 13-19 February 2023].[rate codeID]" caption="rate codeID" attribute="1" defaultMemberUniqueName="[Yellow taxi 13-19 February 2023].[rate codeID].[All]" allUniqueName="[Yellow taxi 13-19 February 2023].[rate codeID].[All]" dimensionUniqueName="[Yellow taxi 13-19 February 2023]" displayFolder="" count="0" memberValueDatatype="20" unbalanced="0"/>
    <cacheHierarchy uniqueName="[Yellow taxi 13-19 February 2023].[store and fwd flag]" caption="store and fwd flag" attribute="1" defaultMemberUniqueName="[Yellow taxi 13-19 February 2023].[store and fwd flag].[All]" allUniqueName="[Yellow taxi 13-19 February 2023].[store and fwd flag].[All]" dimensionUniqueName="[Yellow taxi 13-19 February 2023]" displayFolder="" count="0" memberValueDatatype="130" unbalanced="0"/>
    <cacheHierarchy uniqueName="[Yellow taxi 13-19 February 2023].[payment type]" caption="payment type" attribute="1" defaultMemberUniqueName="[Yellow taxi 13-19 February 2023].[payment type].[All]" allUniqueName="[Yellow taxi 13-19 February 2023].[payment type].[All]" dimensionUniqueName="[Yellow taxi 13-19 February 2023]" displayFolder="" count="0" memberValueDatatype="20" unbalanced="0"/>
    <cacheHierarchy uniqueName="[Yellow taxi 13-19 February 2023].[fare amount]" caption="fare amount" attribute="1" defaultMemberUniqueName="[Yellow taxi 13-19 February 2023].[fare amount].[All]" allUniqueName="[Yellow taxi 13-19 February 2023].[fare amount].[All]" dimensionUniqueName="[Yellow taxi 13-19 February 2023]" displayFolder="" count="0" memberValueDatatype="5" unbalanced="0"/>
    <cacheHierarchy uniqueName="[Yellow taxi 13-19 February 2023].[mta tax]" caption="mta tax" attribute="1" defaultMemberUniqueName="[Yellow taxi 13-19 February 2023].[mta tax].[All]" allUniqueName="[Yellow taxi 13-19 February 2023].[mta tax].[All]" dimensionUniqueName="[Yellow taxi 13-19 February 2023]" displayFolder="" count="0" memberValueDatatype="5" unbalanced="0"/>
    <cacheHierarchy uniqueName="[Yellow taxi 13-19 February 2023].[tip amount]" caption="tip amount" attribute="1" defaultMemberUniqueName="[Yellow taxi 13-19 February 2023].[tip amount].[All]" allUniqueName="[Yellow taxi 13-19 February 2023].[tip amount].[All]" dimensionUniqueName="[Yellow taxi 13-19 February 2023]" displayFolder="" count="0" memberValueDatatype="5" unbalanced="0"/>
    <cacheHierarchy uniqueName="[Yellow taxi 13-19 February 2023].[total amount]" caption="total amount" attribute="1" defaultMemberUniqueName="[Yellow taxi 13-19 February 2023].[total amount].[All]" allUniqueName="[Yellow taxi 13-19 February 2023].[total amount].[All]" dimensionUniqueName="[Yellow taxi 13-19 February 2023]" displayFolder="" count="0" memberValueDatatype="5" unbalanced="0"/>
    <cacheHierarchy uniqueName="[Yellow taxi 13-19 February 2023].[active_time_minutes]" caption="active_time_minutes" attribute="1" defaultMemberUniqueName="[Yellow taxi 13-19 February 2023].[active_time_minutes].[All]" allUniqueName="[Yellow taxi 13-19 February 2023].[active_time_minutes].[All]" dimensionUniqueName="[Yellow taxi 13-19 February 2023]" displayFolder="" count="0" memberValueDatatype="20" unbalanced="0"/>
    <cacheHierarchy uniqueName="[Measures].[avg_daily_time_hours]" caption="avg_daily_time_hours" measure="1" displayFolder="" measureGroup="Yellow taxi 13-19 February 2023" count="0" oneField="1">
      <fieldsUsage count="1">
        <fieldUsage x="4"/>
      </fieldsUsage>
    </cacheHierarchy>
    <cacheHierarchy uniqueName="[Measures].[gunluk_orta_gedis_sayi]" caption="gunluk_orta_gedis_sayi" measure="1" displayFolder="" measureGroup="Yellow taxi 13-19 February 2023" count="0"/>
    <cacheHierarchy uniqueName="[Measures].[gunluk_orta_gedis_mesafesi]" caption="gunluk_orta_gedis_mesafesi" measure="1" displayFolder="" measureGroup="Yellow taxi 13-19 February 2023" count="0"/>
    <cacheHierarchy uniqueName="[Measures].[__XL_Count Yellow taxi 13-19 February 2023]" caption="__XL_Count Yellow taxi 13-19 February 2023" measure="1" displayFolder="" measureGroup="Yellow taxi 13-19 February 2023" count="0" hidden="1"/>
    <cacheHierarchy uniqueName="[Measures].[__No measures defined]" caption="__No measures defined" measure="1" displayFolder="" count="0" hidden="1"/>
    <cacheHierarchy uniqueName="[Measures].[Sum of active_time_minutes]" caption="Sum of active_time_minutes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driverID]" caption="Count of driverID" measure="1" displayFolder="" measureGroup="Yellow taxi 13-19 February 202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ID]" caption="Count of customerID" measure="1" displayFolder="" measureGroup="Yellow taxi 13-19 February 202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amount]" caption="Sum of total amount" measure="1" displayFolder="" measureGroup="Yellow taxi 13-19 February 2023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assenger count]" caption="Sum of passenger count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rip distance]" caption="Sum of trip distance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Yellow taxi 13-19 February 2023" uniqueName="[Yellow taxi 13-19 February 2023]" caption="Yellow taxi 13-19 February 2023"/>
  </dimensions>
  <measureGroups count="1">
    <measureGroup name="Yellow taxi 13-19 February 2023" caption="Yellow taxi 13-19 February 202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28.456140856484" createdVersion="5" refreshedVersion="8" minRefreshableVersion="3" recordCount="0" supportSubquery="1" supportAdvancedDrill="1" xr:uid="{62B90693-E3C2-4A7E-822B-BE8D2D03FF91}">
  <cacheSource type="external" connectionId="2"/>
  <cacheFields count="4">
    <cacheField name="[Yellow taxi 13-19 February 2023].[driverID].[driverID]" caption="driverID" numFmtId="0" hierarchy="3" level="1">
      <sharedItems count="54">
        <s v="S-1125"/>
        <s v="S-1163"/>
        <s v="S-1191"/>
        <s v="S-1227"/>
        <s v="S-1229"/>
        <s v="S-1341"/>
        <s v="S-1357"/>
        <s v="S-1379"/>
        <s v="S-1423"/>
        <s v="S-1477"/>
        <s v="S-1521"/>
        <s v="S-1539"/>
        <s v="S-1619"/>
        <s v="S-1655"/>
        <s v="S-1665"/>
        <s v="S-1671"/>
        <s v="S-1687"/>
        <s v="S-1695"/>
        <s v="S-1829"/>
        <s v="S-1935"/>
        <s v="S-1985"/>
        <s v="S-1993"/>
        <s v="S-1997"/>
        <s v="S-2045"/>
        <s v="S-2087"/>
        <s v="S-2101"/>
        <s v="S-2113"/>
        <s v="S-2135"/>
        <s v="S-2153"/>
        <s v="S-2163"/>
        <s v="S-2175"/>
        <s v="S-2255"/>
        <s v="S-2333"/>
        <s v="S-2341"/>
        <s v="S-2357"/>
        <s v="S-2361"/>
        <s v="S-2417"/>
        <s v="S-2511"/>
        <s v="S-2529"/>
        <s v="S-2541"/>
        <s v="S-2585"/>
        <s v="S-2587"/>
        <s v="S-2627"/>
        <s v="S-2683"/>
        <s v="S-2779"/>
        <s v="S-2785"/>
        <s v="S-2861"/>
        <s v="S-2903"/>
        <s v="S-2939"/>
        <s v="S-3007"/>
        <s v="S-3053"/>
        <s v="S-3067"/>
        <s v="S-3079"/>
        <s v="S-3103"/>
      </sharedItems>
    </cacheField>
    <cacheField name="[Yellow taxi 13-19 February 2023].[date].[date]" caption="date" numFmtId="0" level="1">
      <sharedItems containsSemiMixedTypes="0" containsNonDate="0" containsDate="1" containsString="0" minDate="2023-02-13T00:00:00" maxDate="2023-02-20T00:00:00" count="7">
        <d v="2023-02-13T00:00:00"/>
        <d v="2023-02-14T00:00:00"/>
        <d v="2023-02-15T00:00:00"/>
        <d v="2023-02-16T00:00:00"/>
        <d v="2023-02-17T00:00:00"/>
        <d v="2023-02-18T00:00:00"/>
        <d v="2023-02-19T00:00:00"/>
      </sharedItems>
    </cacheField>
    <cacheField name="[Measures].[Sum of active_time_minutes]" caption="Sum of active_time_minutes" numFmtId="0" hierarchy="21" level="32767"/>
    <cacheField name="[Measures].[avg_daily_time_hours]" caption="avg_daily_time_hours" numFmtId="0" hierarchy="16" level="32767"/>
  </cacheFields>
  <cacheHierarchies count="27">
    <cacheHierarchy uniqueName="[Yellow taxi 13-19 February 2023].[date]" caption="date" attribute="1" time="1" defaultMemberUniqueName="[Yellow taxi 13-19 February 2023].[date].[All]" allUniqueName="[Yellow taxi 13-19 February 2023].[date].[All]" dimensionUniqueName="[Yellow taxi 13-19 February 2023]" displayFolder="" count="2" memberValueDatatype="7" unbalanced="0">
      <fieldsUsage count="2">
        <fieldUsage x="-1"/>
        <fieldUsage x="1"/>
      </fieldsUsage>
    </cacheHierarchy>
    <cacheHierarchy uniqueName="[Yellow taxi 13-19 February 2023].[pickup]" caption="pickup" attribute="1" time="1" defaultMemberUniqueName="[Yellow taxi 13-19 February 2023].[pickup].[All]" allUniqueName="[Yellow taxi 13-19 February 2023].[pickup].[All]" dimensionUniqueName="[Yellow taxi 13-19 February 2023]" displayFolder="" count="0" memberValueDatatype="7" unbalanced="0"/>
    <cacheHierarchy uniqueName="[Yellow taxi 13-19 February 2023].[dropoff]" caption="dropoff" attribute="1" time="1" defaultMemberUniqueName="[Yellow taxi 13-19 February 2023].[dropoff].[All]" allUniqueName="[Yellow taxi 13-19 February 2023].[dropoff].[All]" dimensionUniqueName="[Yellow taxi 13-19 February 2023]" displayFolder="" count="0" memberValueDatatype="7" unbalanced="0"/>
    <cacheHierarchy uniqueName="[Yellow taxi 13-19 February 2023].[driverID]" caption="driverID" attribute="1" defaultMemberUniqueName="[Yellow taxi 13-19 February 2023].[driverID].[All]" allUniqueName="[Yellow taxi 13-19 February 2023].[driverID].[All]" dimensionUniqueName="[Yellow taxi 13-19 February 2023]" displayFolder="" count="2" memberValueDatatype="130" unbalanced="0">
      <fieldsUsage count="2">
        <fieldUsage x="-1"/>
        <fieldUsage x="0"/>
      </fieldsUsage>
    </cacheHierarchy>
    <cacheHierarchy uniqueName="[Yellow taxi 13-19 February 2023].[customerID]" caption="customerID" attribute="1" defaultMemberUniqueName="[Yellow taxi 13-19 February 2023].[customerID].[All]" allUniqueName="[Yellow taxi 13-19 February 2023].[customerID].[All]" dimensionUniqueName="[Yellow taxi 13-19 February 2023]" displayFolder="" count="0" memberValueDatatype="130" unbalanced="0"/>
    <cacheHierarchy uniqueName="[Yellow taxi 13-19 February 2023].[passenger count]" caption="passenger count" attribute="1" defaultMemberUniqueName="[Yellow taxi 13-19 February 2023].[passenger count].[All]" allUniqueName="[Yellow taxi 13-19 February 2023].[passenger count].[All]" dimensionUniqueName="[Yellow taxi 13-19 February 2023]" displayFolder="" count="0" memberValueDatatype="20" unbalanced="0"/>
    <cacheHierarchy uniqueName="[Yellow taxi 13-19 February 2023].[trip distance]" caption="trip distance" attribute="1" defaultMemberUniqueName="[Yellow taxi 13-19 February 2023].[trip distance].[All]" allUniqueName="[Yellow taxi 13-19 February 2023].[trip distance].[All]" dimensionUniqueName="[Yellow taxi 13-19 February 2023]" displayFolder="" count="0" memberValueDatatype="5" unbalanced="0"/>
    <cacheHierarchy uniqueName="[Yellow taxi 13-19 February 2023].[group_distance]" caption="group_distance" attribute="1" defaultMemberUniqueName="[Yellow taxi 13-19 February 2023].[group_distance].[All]" allUniqueName="[Yellow taxi 13-19 February 2023].[group_distance].[All]" dimensionUniqueName="[Yellow taxi 13-19 February 2023]" displayFolder="" count="0" memberValueDatatype="130" unbalanced="0"/>
    <cacheHierarchy uniqueName="[Yellow taxi 13-19 February 2023].[rate codeID]" caption="rate codeID" attribute="1" defaultMemberUniqueName="[Yellow taxi 13-19 February 2023].[rate codeID].[All]" allUniqueName="[Yellow taxi 13-19 February 2023].[rate codeID].[All]" dimensionUniqueName="[Yellow taxi 13-19 February 2023]" displayFolder="" count="0" memberValueDatatype="20" unbalanced="0"/>
    <cacheHierarchy uniqueName="[Yellow taxi 13-19 February 2023].[store and fwd flag]" caption="store and fwd flag" attribute="1" defaultMemberUniqueName="[Yellow taxi 13-19 February 2023].[store and fwd flag].[All]" allUniqueName="[Yellow taxi 13-19 February 2023].[store and fwd flag].[All]" dimensionUniqueName="[Yellow taxi 13-19 February 2023]" displayFolder="" count="0" memberValueDatatype="130" unbalanced="0"/>
    <cacheHierarchy uniqueName="[Yellow taxi 13-19 February 2023].[payment type]" caption="payment type" attribute="1" defaultMemberUniqueName="[Yellow taxi 13-19 February 2023].[payment type].[All]" allUniqueName="[Yellow taxi 13-19 February 2023].[payment type].[All]" dimensionUniqueName="[Yellow taxi 13-19 February 2023]" displayFolder="" count="0" memberValueDatatype="20" unbalanced="0"/>
    <cacheHierarchy uniqueName="[Yellow taxi 13-19 February 2023].[fare amount]" caption="fare amount" attribute="1" defaultMemberUniqueName="[Yellow taxi 13-19 February 2023].[fare amount].[All]" allUniqueName="[Yellow taxi 13-19 February 2023].[fare amount].[All]" dimensionUniqueName="[Yellow taxi 13-19 February 2023]" displayFolder="" count="0" memberValueDatatype="5" unbalanced="0"/>
    <cacheHierarchy uniqueName="[Yellow taxi 13-19 February 2023].[mta tax]" caption="mta tax" attribute="1" defaultMemberUniqueName="[Yellow taxi 13-19 February 2023].[mta tax].[All]" allUniqueName="[Yellow taxi 13-19 February 2023].[mta tax].[All]" dimensionUniqueName="[Yellow taxi 13-19 February 2023]" displayFolder="" count="0" memberValueDatatype="5" unbalanced="0"/>
    <cacheHierarchy uniqueName="[Yellow taxi 13-19 February 2023].[tip amount]" caption="tip amount" attribute="1" defaultMemberUniqueName="[Yellow taxi 13-19 February 2023].[tip amount].[All]" allUniqueName="[Yellow taxi 13-19 February 2023].[tip amount].[All]" dimensionUniqueName="[Yellow taxi 13-19 February 2023]" displayFolder="" count="0" memberValueDatatype="5" unbalanced="0"/>
    <cacheHierarchy uniqueName="[Yellow taxi 13-19 February 2023].[total amount]" caption="total amount" attribute="1" defaultMemberUniqueName="[Yellow taxi 13-19 February 2023].[total amount].[All]" allUniqueName="[Yellow taxi 13-19 February 2023].[total amount].[All]" dimensionUniqueName="[Yellow taxi 13-19 February 2023]" displayFolder="" count="0" memberValueDatatype="5" unbalanced="0"/>
    <cacheHierarchy uniqueName="[Yellow taxi 13-19 February 2023].[active_time_minutes]" caption="active_time_minutes" attribute="1" defaultMemberUniqueName="[Yellow taxi 13-19 February 2023].[active_time_minutes].[All]" allUniqueName="[Yellow taxi 13-19 February 2023].[active_time_minutes].[All]" dimensionUniqueName="[Yellow taxi 13-19 February 2023]" displayFolder="" count="0" memberValueDatatype="20" unbalanced="0"/>
    <cacheHierarchy uniqueName="[Measures].[avg_daily_time_hours]" caption="avg_daily_time_hours" measure="1" displayFolder="" measureGroup="Yellow taxi 13-19 February 2023" count="0" oneField="1">
      <fieldsUsage count="1">
        <fieldUsage x="3"/>
      </fieldsUsage>
    </cacheHierarchy>
    <cacheHierarchy uniqueName="[Measures].[gunluk_orta_gedis_sayi]" caption="gunluk_orta_gedis_sayi" measure="1" displayFolder="" measureGroup="Yellow taxi 13-19 February 2023" count="0"/>
    <cacheHierarchy uniqueName="[Measures].[gunluk_orta_gedis_mesafesi]" caption="gunluk_orta_gedis_mesafesi" measure="1" displayFolder="" measureGroup="Yellow taxi 13-19 February 2023" count="0"/>
    <cacheHierarchy uniqueName="[Measures].[__XL_Count Yellow taxi 13-19 February 2023]" caption="__XL_Count Yellow taxi 13-19 February 2023" measure="1" displayFolder="" measureGroup="Yellow taxi 13-19 February 2023" count="0" hidden="1"/>
    <cacheHierarchy uniqueName="[Measures].[__No measures defined]" caption="__No measures defined" measure="1" displayFolder="" count="0" hidden="1"/>
    <cacheHierarchy uniqueName="[Measures].[Sum of active_time_minutes]" caption="Sum of active_time_minutes" measure="1" displayFolder="" measureGroup="Yellow taxi 13-19 February 202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driverID]" caption="Count of driverID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ID]" caption="Count of customerID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amount]" caption="Sum of total amount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assenger count]" caption="Sum of passenger count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rip distance]" caption="Sum of trip distance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Yellow taxi 13-19 February 2023" uniqueName="[Yellow taxi 13-19 February 2023]" caption="Yellow taxi 13-19 February 2023"/>
  </dimensions>
  <measureGroups count="1">
    <measureGroup name="Yellow taxi 13-19 February 2023" caption="Yellow taxi 13-19 February 202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28.456142013885" createdVersion="5" refreshedVersion="8" minRefreshableVersion="3" recordCount="0" supportSubquery="1" supportAdvancedDrill="1" xr:uid="{6826586D-2FBE-4047-BE05-D0411F54968C}">
  <cacheSource type="external" connectionId="2"/>
  <cacheFields count="3">
    <cacheField name="[Yellow taxi 13-19 February 2023].[driverID].[driverID]" caption="driverID" numFmtId="0" hierarchy="3" level="1">
      <sharedItems count="54">
        <s v="S-1125"/>
        <s v="S-1163"/>
        <s v="S-1191"/>
        <s v="S-1227"/>
        <s v="S-1229"/>
        <s v="S-1341"/>
        <s v="S-1357"/>
        <s v="S-1379"/>
        <s v="S-1423"/>
        <s v="S-1477"/>
        <s v="S-1521"/>
        <s v="S-1539"/>
        <s v="S-1619"/>
        <s v="S-1655"/>
        <s v="S-1665"/>
        <s v="S-1671"/>
        <s v="S-1687"/>
        <s v="S-1695"/>
        <s v="S-1829"/>
        <s v="S-1935"/>
        <s v="S-1985"/>
        <s v="S-1993"/>
        <s v="S-1997"/>
        <s v="S-2045"/>
        <s v="S-2087"/>
        <s v="S-2101"/>
        <s v="S-2113"/>
        <s v="S-2135"/>
        <s v="S-2153"/>
        <s v="S-2163"/>
        <s v="S-2175"/>
        <s v="S-2255"/>
        <s v="S-2333"/>
        <s v="S-2341"/>
        <s v="S-2357"/>
        <s v="S-2361"/>
        <s v="S-2417"/>
        <s v="S-2511"/>
        <s v="S-2529"/>
        <s v="S-2541"/>
        <s v="S-2585"/>
        <s v="S-2587"/>
        <s v="S-2627"/>
        <s v="S-2683"/>
        <s v="S-2779"/>
        <s v="S-2785"/>
        <s v="S-2861"/>
        <s v="S-2903"/>
        <s v="S-2939"/>
        <s v="S-3007"/>
        <s v="S-3053"/>
        <s v="S-3067"/>
        <s v="S-3079"/>
        <s v="S-3103"/>
      </sharedItems>
    </cacheField>
    <cacheField name="[Measures].[Sum of active_time_minutes]" caption="Sum of active_time_minutes" numFmtId="0" hierarchy="21" level="32767"/>
    <cacheField name="[Yellow taxi 13-19 February 2023].[date].[date]" caption="date" numFmtId="0" level="1">
      <sharedItems containsSemiMixedTypes="0" containsNonDate="0" containsDate="1" containsString="0" minDate="2023-02-13T00:00:00" maxDate="2023-02-20T00:00:00" count="7">
        <d v="2023-02-13T00:00:00"/>
        <d v="2023-02-14T00:00:00"/>
        <d v="2023-02-15T00:00:00"/>
        <d v="2023-02-16T00:00:00"/>
        <d v="2023-02-17T00:00:00"/>
        <d v="2023-02-18T00:00:00"/>
        <d v="2023-02-19T00:00:00"/>
      </sharedItems>
    </cacheField>
  </cacheFields>
  <cacheHierarchies count="27">
    <cacheHierarchy uniqueName="[Yellow taxi 13-19 February 2023].[date]" caption="date" attribute="1" time="1" defaultMemberUniqueName="[Yellow taxi 13-19 February 2023].[date].[All]" allUniqueName="[Yellow taxi 13-19 February 2023].[date].[All]" dimensionUniqueName="[Yellow taxi 13-19 February 2023]" displayFolder="" count="2" memberValueDatatype="7" unbalanced="0">
      <fieldsUsage count="2">
        <fieldUsage x="-1"/>
        <fieldUsage x="2"/>
      </fieldsUsage>
    </cacheHierarchy>
    <cacheHierarchy uniqueName="[Yellow taxi 13-19 February 2023].[pickup]" caption="pickup" attribute="1" time="1" defaultMemberUniqueName="[Yellow taxi 13-19 February 2023].[pickup].[All]" allUniqueName="[Yellow taxi 13-19 February 2023].[pickup].[All]" dimensionUniqueName="[Yellow taxi 13-19 February 2023]" displayFolder="" count="0" memberValueDatatype="7" unbalanced="0"/>
    <cacheHierarchy uniqueName="[Yellow taxi 13-19 February 2023].[dropoff]" caption="dropoff" attribute="1" time="1" defaultMemberUniqueName="[Yellow taxi 13-19 February 2023].[dropoff].[All]" allUniqueName="[Yellow taxi 13-19 February 2023].[dropoff].[All]" dimensionUniqueName="[Yellow taxi 13-19 February 2023]" displayFolder="" count="0" memberValueDatatype="7" unbalanced="0"/>
    <cacheHierarchy uniqueName="[Yellow taxi 13-19 February 2023].[driverID]" caption="driverID" attribute="1" defaultMemberUniqueName="[Yellow taxi 13-19 February 2023].[driverID].[All]" allUniqueName="[Yellow taxi 13-19 February 2023].[driverID].[All]" dimensionUniqueName="[Yellow taxi 13-19 February 2023]" displayFolder="" count="2" memberValueDatatype="130" unbalanced="0">
      <fieldsUsage count="2">
        <fieldUsage x="-1"/>
        <fieldUsage x="0"/>
      </fieldsUsage>
    </cacheHierarchy>
    <cacheHierarchy uniqueName="[Yellow taxi 13-19 February 2023].[customerID]" caption="customerID" attribute="1" defaultMemberUniqueName="[Yellow taxi 13-19 February 2023].[customerID].[All]" allUniqueName="[Yellow taxi 13-19 February 2023].[customerID].[All]" dimensionUniqueName="[Yellow taxi 13-19 February 2023]" displayFolder="" count="0" memberValueDatatype="130" unbalanced="0"/>
    <cacheHierarchy uniqueName="[Yellow taxi 13-19 February 2023].[passenger count]" caption="passenger count" attribute="1" defaultMemberUniqueName="[Yellow taxi 13-19 February 2023].[passenger count].[All]" allUniqueName="[Yellow taxi 13-19 February 2023].[passenger count].[All]" dimensionUniqueName="[Yellow taxi 13-19 February 2023]" displayFolder="" count="0" memberValueDatatype="20" unbalanced="0"/>
    <cacheHierarchy uniqueName="[Yellow taxi 13-19 February 2023].[trip distance]" caption="trip distance" attribute="1" defaultMemberUniqueName="[Yellow taxi 13-19 February 2023].[trip distance].[All]" allUniqueName="[Yellow taxi 13-19 February 2023].[trip distance].[All]" dimensionUniqueName="[Yellow taxi 13-19 February 2023]" displayFolder="" count="0" memberValueDatatype="5" unbalanced="0"/>
    <cacheHierarchy uniqueName="[Yellow taxi 13-19 February 2023].[group_distance]" caption="group_distance" attribute="1" defaultMemberUniqueName="[Yellow taxi 13-19 February 2023].[group_distance].[All]" allUniqueName="[Yellow taxi 13-19 February 2023].[group_distance].[All]" dimensionUniqueName="[Yellow taxi 13-19 February 2023]" displayFolder="" count="0" memberValueDatatype="130" unbalanced="0"/>
    <cacheHierarchy uniqueName="[Yellow taxi 13-19 February 2023].[rate codeID]" caption="rate codeID" attribute="1" defaultMemberUniqueName="[Yellow taxi 13-19 February 2023].[rate codeID].[All]" allUniqueName="[Yellow taxi 13-19 February 2023].[rate codeID].[All]" dimensionUniqueName="[Yellow taxi 13-19 February 2023]" displayFolder="" count="0" memberValueDatatype="20" unbalanced="0"/>
    <cacheHierarchy uniqueName="[Yellow taxi 13-19 February 2023].[store and fwd flag]" caption="store and fwd flag" attribute="1" defaultMemberUniqueName="[Yellow taxi 13-19 February 2023].[store and fwd flag].[All]" allUniqueName="[Yellow taxi 13-19 February 2023].[store and fwd flag].[All]" dimensionUniqueName="[Yellow taxi 13-19 February 2023]" displayFolder="" count="0" memberValueDatatype="130" unbalanced="0"/>
    <cacheHierarchy uniqueName="[Yellow taxi 13-19 February 2023].[payment type]" caption="payment type" attribute="1" defaultMemberUniqueName="[Yellow taxi 13-19 February 2023].[payment type].[All]" allUniqueName="[Yellow taxi 13-19 February 2023].[payment type].[All]" dimensionUniqueName="[Yellow taxi 13-19 February 2023]" displayFolder="" count="0" memberValueDatatype="20" unbalanced="0"/>
    <cacheHierarchy uniqueName="[Yellow taxi 13-19 February 2023].[fare amount]" caption="fare amount" attribute="1" defaultMemberUniqueName="[Yellow taxi 13-19 February 2023].[fare amount].[All]" allUniqueName="[Yellow taxi 13-19 February 2023].[fare amount].[All]" dimensionUniqueName="[Yellow taxi 13-19 February 2023]" displayFolder="" count="0" memberValueDatatype="5" unbalanced="0"/>
    <cacheHierarchy uniqueName="[Yellow taxi 13-19 February 2023].[mta tax]" caption="mta tax" attribute="1" defaultMemberUniqueName="[Yellow taxi 13-19 February 2023].[mta tax].[All]" allUniqueName="[Yellow taxi 13-19 February 2023].[mta tax].[All]" dimensionUniqueName="[Yellow taxi 13-19 February 2023]" displayFolder="" count="0" memberValueDatatype="5" unbalanced="0"/>
    <cacheHierarchy uniqueName="[Yellow taxi 13-19 February 2023].[tip amount]" caption="tip amount" attribute="1" defaultMemberUniqueName="[Yellow taxi 13-19 February 2023].[tip amount].[All]" allUniqueName="[Yellow taxi 13-19 February 2023].[tip amount].[All]" dimensionUniqueName="[Yellow taxi 13-19 February 2023]" displayFolder="" count="0" memberValueDatatype="5" unbalanced="0"/>
    <cacheHierarchy uniqueName="[Yellow taxi 13-19 February 2023].[total amount]" caption="total amount" attribute="1" defaultMemberUniqueName="[Yellow taxi 13-19 February 2023].[total amount].[All]" allUniqueName="[Yellow taxi 13-19 February 2023].[total amount].[All]" dimensionUniqueName="[Yellow taxi 13-19 February 2023]" displayFolder="" count="0" memberValueDatatype="5" unbalanced="0"/>
    <cacheHierarchy uniqueName="[Yellow taxi 13-19 February 2023].[active_time_minutes]" caption="active_time_minutes" attribute="1" defaultMemberUniqueName="[Yellow taxi 13-19 February 2023].[active_time_minutes].[All]" allUniqueName="[Yellow taxi 13-19 February 2023].[active_time_minutes].[All]" dimensionUniqueName="[Yellow taxi 13-19 February 2023]" displayFolder="" count="0" memberValueDatatype="20" unbalanced="0"/>
    <cacheHierarchy uniqueName="[Measures].[avg_daily_time_hours]" caption="avg_daily_time_hours" measure="1" displayFolder="" measureGroup="Yellow taxi 13-19 February 2023" count="0"/>
    <cacheHierarchy uniqueName="[Measures].[gunluk_orta_gedis_sayi]" caption="gunluk_orta_gedis_sayi" measure="1" displayFolder="" measureGroup="Yellow taxi 13-19 February 2023" count="0"/>
    <cacheHierarchy uniqueName="[Measures].[gunluk_orta_gedis_mesafesi]" caption="gunluk_orta_gedis_mesafesi" measure="1" displayFolder="" measureGroup="Yellow taxi 13-19 February 2023" count="0"/>
    <cacheHierarchy uniqueName="[Measures].[__XL_Count Yellow taxi 13-19 February 2023]" caption="__XL_Count Yellow taxi 13-19 February 2023" measure="1" displayFolder="" measureGroup="Yellow taxi 13-19 February 2023" count="0" hidden="1"/>
    <cacheHierarchy uniqueName="[Measures].[__No measures defined]" caption="__No measures defined" measure="1" displayFolder="" count="0" hidden="1"/>
    <cacheHierarchy uniqueName="[Measures].[Sum of active_time_minutes]" caption="Sum of active_time_minutes" measure="1" displayFolder="" measureGroup="Yellow taxi 13-19 February 202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driverID]" caption="Count of driverID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ID]" caption="Count of customerID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amount]" caption="Sum of total amount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assenger count]" caption="Sum of passenger count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rip distance]" caption="Sum of trip distance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Yellow taxi 13-19 February 2023" uniqueName="[Yellow taxi 13-19 February 2023]" caption="Yellow taxi 13-19 February 2023"/>
  </dimensions>
  <measureGroups count="1">
    <measureGroup name="Yellow taxi 13-19 February 2023" caption="Yellow taxi 13-19 February 202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28.45614328704" createdVersion="8" refreshedVersion="8" minRefreshableVersion="3" recordCount="0" supportSubquery="1" supportAdvancedDrill="1" xr:uid="{D9D50741-3C13-4409-9903-73DB8BA324B0}">
  <cacheSource type="external" connectionId="2"/>
  <cacheFields count="3">
    <cacheField name="[Measures].[Count of driverID]" caption="Count of driverID" numFmtId="0" hierarchy="22" level="32767"/>
    <cacheField name="[Yellow taxi 13-19 February 2023].[group_distance].[group_distance]" caption="group_distance" numFmtId="0" hierarchy="7" level="1">
      <sharedItems count="7">
        <s v="&lt;1"/>
        <s v="&gt;11"/>
        <s v="1-3"/>
        <s v="3-5"/>
        <s v="5-7"/>
        <s v="7-9"/>
        <s v="9-11"/>
      </sharedItems>
    </cacheField>
    <cacheField name="[Yellow taxi 13-19 February 2023].[driverID].[driverID]" caption="driverID" numFmtId="0" hierarchy="3" level="1">
      <sharedItems count="54">
        <s v="S-1125"/>
        <s v="S-1163"/>
        <s v="S-1191"/>
        <s v="S-1227"/>
        <s v="S-1229"/>
        <s v="S-1341"/>
        <s v="S-1357"/>
        <s v="S-1379"/>
        <s v="S-1423"/>
        <s v="S-1477"/>
        <s v="S-1521"/>
        <s v="S-1539"/>
        <s v="S-1619"/>
        <s v="S-1655"/>
        <s v="S-1665"/>
        <s v="S-1671"/>
        <s v="S-1687"/>
        <s v="S-1695"/>
        <s v="S-1829"/>
        <s v="S-1935"/>
        <s v="S-1985"/>
        <s v="S-1993"/>
        <s v="S-1997"/>
        <s v="S-2045"/>
        <s v="S-2087"/>
        <s v="S-2101"/>
        <s v="S-2113"/>
        <s v="S-2135"/>
        <s v="S-2153"/>
        <s v="S-2163"/>
        <s v="S-2175"/>
        <s v="S-2255"/>
        <s v="S-2333"/>
        <s v="S-2341"/>
        <s v="S-2357"/>
        <s v="S-2361"/>
        <s v="S-2417"/>
        <s v="S-2511"/>
        <s v="S-2529"/>
        <s v="S-2541"/>
        <s v="S-2585"/>
        <s v="S-2587"/>
        <s v="S-2627"/>
        <s v="S-2683"/>
        <s v="S-2779"/>
        <s v="S-2785"/>
        <s v="S-2861"/>
        <s v="S-2903"/>
        <s v="S-2939"/>
        <s v="S-3007"/>
        <s v="S-3053"/>
        <s v="S-3067"/>
        <s v="S-3079"/>
        <s v="S-3103"/>
      </sharedItems>
    </cacheField>
  </cacheFields>
  <cacheHierarchies count="27">
    <cacheHierarchy uniqueName="[Yellow taxi 13-19 February 2023].[date]" caption="date" attribute="1" time="1" defaultMemberUniqueName="[Yellow taxi 13-19 February 2023].[date].[All]" allUniqueName="[Yellow taxi 13-19 February 2023].[date].[All]" dimensionUniqueName="[Yellow taxi 13-19 February 2023]" displayFolder="" count="0" memberValueDatatype="7" unbalanced="0"/>
    <cacheHierarchy uniqueName="[Yellow taxi 13-19 February 2023].[pickup]" caption="pickup" attribute="1" time="1" defaultMemberUniqueName="[Yellow taxi 13-19 February 2023].[pickup].[All]" allUniqueName="[Yellow taxi 13-19 February 2023].[pickup].[All]" dimensionUniqueName="[Yellow taxi 13-19 February 2023]" displayFolder="" count="0" memberValueDatatype="7" unbalanced="0"/>
    <cacheHierarchy uniqueName="[Yellow taxi 13-19 February 2023].[dropoff]" caption="dropoff" attribute="1" time="1" defaultMemberUniqueName="[Yellow taxi 13-19 February 2023].[dropoff].[All]" allUniqueName="[Yellow taxi 13-19 February 2023].[dropoff].[All]" dimensionUniqueName="[Yellow taxi 13-19 February 2023]" displayFolder="" count="0" memberValueDatatype="7" unbalanced="0"/>
    <cacheHierarchy uniqueName="[Yellow taxi 13-19 February 2023].[driverID]" caption="driverID" attribute="1" defaultMemberUniqueName="[Yellow taxi 13-19 February 2023].[driverID].[All]" allUniqueName="[Yellow taxi 13-19 February 2023].[driverID].[All]" dimensionUniqueName="[Yellow taxi 13-19 February 2023]" displayFolder="" count="2" memberValueDatatype="130" unbalanced="0">
      <fieldsUsage count="2">
        <fieldUsage x="-1"/>
        <fieldUsage x="2"/>
      </fieldsUsage>
    </cacheHierarchy>
    <cacheHierarchy uniqueName="[Yellow taxi 13-19 February 2023].[customerID]" caption="customerID" attribute="1" defaultMemberUniqueName="[Yellow taxi 13-19 February 2023].[customerID].[All]" allUniqueName="[Yellow taxi 13-19 February 2023].[customerID].[All]" dimensionUniqueName="[Yellow taxi 13-19 February 2023]" displayFolder="" count="0" memberValueDatatype="130" unbalanced="0"/>
    <cacheHierarchy uniqueName="[Yellow taxi 13-19 February 2023].[passenger count]" caption="passenger count" attribute="1" defaultMemberUniqueName="[Yellow taxi 13-19 February 2023].[passenger count].[All]" allUniqueName="[Yellow taxi 13-19 February 2023].[passenger count].[All]" dimensionUniqueName="[Yellow taxi 13-19 February 2023]" displayFolder="" count="0" memberValueDatatype="20" unbalanced="0"/>
    <cacheHierarchy uniqueName="[Yellow taxi 13-19 February 2023].[trip distance]" caption="trip distance" attribute="1" defaultMemberUniqueName="[Yellow taxi 13-19 February 2023].[trip distance].[All]" allUniqueName="[Yellow taxi 13-19 February 2023].[trip distance].[All]" dimensionUniqueName="[Yellow taxi 13-19 February 2023]" displayFolder="" count="0" memberValueDatatype="5" unbalanced="0"/>
    <cacheHierarchy uniqueName="[Yellow taxi 13-19 February 2023].[group_distance]" caption="group_distance" attribute="1" defaultMemberUniqueName="[Yellow taxi 13-19 February 2023].[group_distance].[All]" allUniqueName="[Yellow taxi 13-19 February 2023].[group_distance].[All]" dimensionUniqueName="[Yellow taxi 13-19 February 2023]" displayFolder="" count="2" memberValueDatatype="130" unbalanced="0">
      <fieldsUsage count="2">
        <fieldUsage x="-1"/>
        <fieldUsage x="1"/>
      </fieldsUsage>
    </cacheHierarchy>
    <cacheHierarchy uniqueName="[Yellow taxi 13-19 February 2023].[rate codeID]" caption="rate codeID" attribute="1" defaultMemberUniqueName="[Yellow taxi 13-19 February 2023].[rate codeID].[All]" allUniqueName="[Yellow taxi 13-19 February 2023].[rate codeID].[All]" dimensionUniqueName="[Yellow taxi 13-19 February 2023]" displayFolder="" count="0" memberValueDatatype="20" unbalanced="0"/>
    <cacheHierarchy uniqueName="[Yellow taxi 13-19 February 2023].[store and fwd flag]" caption="store and fwd flag" attribute="1" defaultMemberUniqueName="[Yellow taxi 13-19 February 2023].[store and fwd flag].[All]" allUniqueName="[Yellow taxi 13-19 February 2023].[store and fwd flag].[All]" dimensionUniqueName="[Yellow taxi 13-19 February 2023]" displayFolder="" count="0" memberValueDatatype="130" unbalanced="0"/>
    <cacheHierarchy uniqueName="[Yellow taxi 13-19 February 2023].[payment type]" caption="payment type" attribute="1" defaultMemberUniqueName="[Yellow taxi 13-19 February 2023].[payment type].[All]" allUniqueName="[Yellow taxi 13-19 February 2023].[payment type].[All]" dimensionUniqueName="[Yellow taxi 13-19 February 2023]" displayFolder="" count="0" memberValueDatatype="20" unbalanced="0"/>
    <cacheHierarchy uniqueName="[Yellow taxi 13-19 February 2023].[fare amount]" caption="fare amount" attribute="1" defaultMemberUniqueName="[Yellow taxi 13-19 February 2023].[fare amount].[All]" allUniqueName="[Yellow taxi 13-19 February 2023].[fare amount].[All]" dimensionUniqueName="[Yellow taxi 13-19 February 2023]" displayFolder="" count="0" memberValueDatatype="5" unbalanced="0"/>
    <cacheHierarchy uniqueName="[Yellow taxi 13-19 February 2023].[mta tax]" caption="mta tax" attribute="1" defaultMemberUniqueName="[Yellow taxi 13-19 February 2023].[mta tax].[All]" allUniqueName="[Yellow taxi 13-19 February 2023].[mta tax].[All]" dimensionUniqueName="[Yellow taxi 13-19 February 2023]" displayFolder="" count="0" memberValueDatatype="5" unbalanced="0"/>
    <cacheHierarchy uniqueName="[Yellow taxi 13-19 February 2023].[tip amount]" caption="tip amount" attribute="1" defaultMemberUniqueName="[Yellow taxi 13-19 February 2023].[tip amount].[All]" allUniqueName="[Yellow taxi 13-19 February 2023].[tip amount].[All]" dimensionUniqueName="[Yellow taxi 13-19 February 2023]" displayFolder="" count="0" memberValueDatatype="5" unbalanced="0"/>
    <cacheHierarchy uniqueName="[Yellow taxi 13-19 February 2023].[total amount]" caption="total amount" attribute="1" defaultMemberUniqueName="[Yellow taxi 13-19 February 2023].[total amount].[All]" allUniqueName="[Yellow taxi 13-19 February 2023].[total amount].[All]" dimensionUniqueName="[Yellow taxi 13-19 February 2023]" displayFolder="" count="0" memberValueDatatype="5" unbalanced="0"/>
    <cacheHierarchy uniqueName="[Yellow taxi 13-19 February 2023].[active_time_minutes]" caption="active_time_minutes" attribute="1" defaultMemberUniqueName="[Yellow taxi 13-19 February 2023].[active_time_minutes].[All]" allUniqueName="[Yellow taxi 13-19 February 2023].[active_time_minutes].[All]" dimensionUniqueName="[Yellow taxi 13-19 February 2023]" displayFolder="" count="0" memberValueDatatype="20" unbalanced="0"/>
    <cacheHierarchy uniqueName="[Measures].[avg_daily_time_hours]" caption="avg_daily_time_hours" measure="1" displayFolder="" measureGroup="Yellow taxi 13-19 February 2023" count="0"/>
    <cacheHierarchy uniqueName="[Measures].[gunluk_orta_gedis_sayi]" caption="gunluk_orta_gedis_sayi" measure="1" displayFolder="" measureGroup="Yellow taxi 13-19 February 2023" count="0"/>
    <cacheHierarchy uniqueName="[Measures].[gunluk_orta_gedis_mesafesi]" caption="gunluk_orta_gedis_mesafesi" measure="1" displayFolder="" measureGroup="Yellow taxi 13-19 February 2023" count="0"/>
    <cacheHierarchy uniqueName="[Measures].[__XL_Count Yellow taxi 13-19 February 2023]" caption="__XL_Count Yellow taxi 13-19 February 2023" measure="1" displayFolder="" measureGroup="Yellow taxi 13-19 February 2023" count="0" hidden="1"/>
    <cacheHierarchy uniqueName="[Measures].[__No measures defined]" caption="__No measures defined" measure="1" displayFolder="" count="0" hidden="1"/>
    <cacheHierarchy uniqueName="[Measures].[Sum of active_time_minutes]" caption="Sum of active_time_minutes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driverID]" caption="Count of driverID" measure="1" displayFolder="" measureGroup="Yellow taxi 13-19 February 202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ID]" caption="Count of customerID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amount]" caption="Sum of total amount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assenger count]" caption="Sum of passenger count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rip distance]" caption="Sum of trip distance" measure="1" displayFolder="" measureGroup="Yellow taxi 13-19 February 202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Yellow taxi 13-19 February 2023" uniqueName="[Yellow taxi 13-19 February 2023]" caption="Yellow taxi 13-19 February 2023"/>
  </dimensions>
  <measureGroups count="1">
    <measureGroup name="Yellow taxi 13-19 February 2023" caption="Yellow taxi 13-19 February 202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E5A14B-46E1-422D-82D7-9642C772F41C}" name="PivotTable1" cacheId="16" applyNumberFormats="0" applyBorderFormats="0" applyFontFormats="0" applyPatternFormats="0" applyAlignmentFormats="0" applyWidthHeightFormats="1" dataCaption="Values" tag="114e56d3-a8a8-4d7b-8152-68fe3a853c48" updatedVersion="8" minRefreshableVersion="3" useAutoFormatting="1" colGrandTotals="0" itemPrintTitles="1" createdVersion="5" indent="0" showHeaders="0" outline="1" outlineData="1" multipleFieldFilters="0">
  <location ref="A1:H57" firstHeaderRow="1" firstDataRow="2" firstDataCol="1"/>
  <pivotFields count="3">
    <pivotField axis="axisRow" allDrilled="1" subtotalTop="0" showAll="0" dataSourceSort="1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0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Sum of active_time_minutes" fld="1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Yellow taxi 13-19 February 202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9BFE8-1F04-4A3A-8910-201985C6DBB4}" name="PivotTable3" cacheId="13" applyNumberFormats="0" applyBorderFormats="0" applyFontFormats="0" applyPatternFormats="0" applyAlignmentFormats="0" applyWidthHeightFormats="1" dataCaption="Values" tag="08dd9db4-5af7-4761-8576-1b64ca9e1f64" updatedVersion="8" minRefreshableVersion="3" useAutoFormatting="1" subtotalHiddenItems="1" itemPrintTitles="1" createdVersion="5" indent="0" showHeaders="0" outline="1" outlineData="1" multipleFieldFilters="0">
  <location ref="A1:Q57" firstHeaderRow="0" firstDataRow="2" firstDataCol="1"/>
  <pivotFields count="4">
    <pivotField axis="axisRow" allDrilled="1" subtotalTop="0" showAll="0" dataSourceSort="1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Fields count="2">
    <field x="1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 t="grand">
      <x/>
    </i>
    <i t="grand" i="1">
      <x/>
    </i>
  </colItems>
  <dataFields count="2">
    <dataField name="active_time_minutes" fld="2" baseField="0" baseItem="0"/>
    <dataField fld="3" subtotal="count" baseField="0" baseItem="0"/>
  </dataFields>
  <formats count="26">
    <format dxfId="133">
      <pivotArea field="0" grandCol="1" collapsedLevelsAreSubtotals="1" axis="axisRow" fieldPosition="0">
        <references count="2">
          <reference field="4294967294" count="1" selected="0">
            <x v="1"/>
          </reference>
          <reference field="0" count="1">
            <x v="1"/>
          </reference>
        </references>
      </pivotArea>
    </format>
    <format dxfId="132">
      <pivotArea field="1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8">
      <pivotArea dataOnly="0" labelOnly="1" fieldPosition="0">
        <references count="1">
          <reference field="0" count="4">
            <x v="50"/>
            <x v="51"/>
            <x v="52"/>
            <x v="53"/>
          </reference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1">
          <reference field="1" count="0"/>
        </references>
      </pivotArea>
    </format>
    <format dxfId="125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4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0">
      <pivotArea dataOnly="0" labelOnly="1" fieldPosition="0">
        <references count="1">
          <reference field="0" count="4">
            <x v="50"/>
            <x v="51"/>
            <x v="52"/>
            <x v="53"/>
          </reference>
        </references>
      </pivotArea>
    </format>
    <format dxfId="119">
      <pivotArea dataOnly="0" labelOnly="1" grandRow="1" outline="0" fieldPosition="0"/>
    </format>
    <format dxfId="118">
      <pivotArea dataOnly="0" labelOnly="1" fieldPosition="0">
        <references count="1">
          <reference field="1" count="0"/>
        </references>
      </pivotArea>
    </format>
    <format dxfId="117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16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2">
      <pivotArea dataOnly="0" labelOnly="1" fieldPosition="0">
        <references count="1">
          <reference field="0" count="4">
            <x v="50"/>
            <x v="51"/>
            <x v="52"/>
            <x v="53"/>
          </reference>
        </references>
      </pivotArea>
    </format>
    <format dxfId="111">
      <pivotArea dataOnly="0" labelOnly="1" grandRow="1" outline="0" fieldPosition="0"/>
    </format>
    <format dxfId="110">
      <pivotArea dataOnly="0" labelOnly="1" fieldPosition="0">
        <references count="1">
          <reference field="1" count="0"/>
        </references>
      </pivotArea>
    </format>
    <format dxfId="109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8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ctive_time_minute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2">
    <colHierarchyUsage hierarchyUsage="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Yellow taxi 13-19 February 202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E2C5C-D21C-4CFC-8B42-33EF5616CA27}" name="PivotTable2" cacheId="10" applyNumberFormats="0" applyBorderFormats="0" applyFontFormats="0" applyPatternFormats="0" applyAlignmentFormats="0" applyWidthHeightFormats="1" dataCaption="Values" tag="5642cf6a-6047-4b5f-9a3a-85d667b6b929" updatedVersion="8" minRefreshableVersion="3" useAutoFormatting="1" rowGrandTotals="0" colGrandTotals="0" itemPrintTitles="1" createdVersion="8" indent="0" outline="1" outlineData="1" multipleFieldFilters="0" rowHeaderCaption="Suruculer">
  <location ref="A3:E57" firstHeaderRow="0" firstDataRow="1" firstDataCol="1"/>
  <pivotFields count="5">
    <pivotField axis="axisRow" allDrilled="1" subtotalTop="0" showAll="0" dataSourceSort="1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Gedis sayi" fld="1" subtotal="count" baseField="0" baseItem="0"/>
    <dataField name="Musteri sayi" fld="2" subtotal="count" baseField="0" baseItem="0"/>
    <dataField name="Umumi gelir" fld="3" baseField="0" baseItem="0"/>
    <dataField name="orta günlük aktiv qalma saati" fld="4" subtotal="count" baseField="0" baseItem="0" numFmtId="2"/>
  </dataFields>
  <formats count="19">
    <format dxfId="10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0" type="button" dataOnly="0" labelOnly="1" outline="0" axis="axisRow" fieldPosition="0"/>
    </format>
    <format dxfId="10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2">
      <pivotArea dataOnly="0" labelOnly="1" fieldPosition="0">
        <references count="1">
          <reference field="0" count="4">
            <x v="50"/>
            <x v="51"/>
            <x v="52"/>
            <x v="53"/>
          </reference>
        </references>
      </pivotArea>
    </format>
    <format dxfId="10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0" type="button" dataOnly="0" labelOnly="1" outline="0" axis="axisRow" fieldPosition="0"/>
    </format>
    <format dxfId="97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6">
      <pivotArea dataOnly="0" labelOnly="1" fieldPosition="0">
        <references count="1">
          <reference field="0" count="4">
            <x v="50"/>
            <x v="51"/>
            <x v="52"/>
            <x v="53"/>
          </reference>
        </references>
      </pivotArea>
    </format>
    <format dxfId="9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0" type="button" dataOnly="0" labelOnly="1" outline="0" axis="axisRow" fieldPosition="0"/>
    </format>
    <format dxfId="9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0">
      <pivotArea dataOnly="0" labelOnly="1" fieldPosition="0">
        <references count="1">
          <reference field="0" count="4">
            <x v="50"/>
            <x v="51"/>
            <x v="52"/>
            <x v="53"/>
          </reference>
        </references>
      </pivotArea>
    </format>
    <format dxfId="8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orta günlük aktiv qalma saati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Gedis sayi"/>
    <pivotHierarchy dragToData="1" caption="Musteri sayi"/>
    <pivotHierarchy dragToData="1" caption="Umumi gelir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Yellow taxi 13-19 February 202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65C92-E51F-45CA-B3AB-1BF9753B671D}" name="PivotTable3" cacheId="7" applyNumberFormats="0" applyBorderFormats="0" applyFontFormats="0" applyPatternFormats="0" applyAlignmentFormats="0" applyWidthHeightFormats="1" dataCaption="Values" tag="a5a994aa-76db-4074-9a4d-e1de00e77add" updatedVersion="8" minRefreshableVersion="3" useAutoFormatting="1" rowGrandTotals="0" colGrandTotals="0" itemPrintTitles="1" createdVersion="8" indent="0" outline="1" outlineData="1" multipleFieldFilters="0">
  <location ref="A1:C872" firstHeaderRow="0" firstDataRow="1" firstDataCol="1"/>
  <pivotFields count="3">
    <pivotField axis="axisRow" allDrilled="1" subtotalTop="0" showAll="0" dataSourceSort="1" defaultSubtotal="0" defaultAttributeDrillState="1">
      <items count="8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8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formats count="67">
    <format dxfId="88">
      <pivotArea outline="0" collapsedLevelsAreSubtotals="1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0" type="button" dataOnly="0" labelOnly="1" outline="0" axis="axisRow" fieldPosition="0"/>
    </format>
    <format dxfId="8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3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82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81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80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79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78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77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76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75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74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73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72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71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70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69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68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67">
      <pivotArea dataOnly="0" labelOnly="1" fieldPosition="0">
        <references count="1">
          <reference field="0" count="21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</reference>
        </references>
      </pivotArea>
    </format>
    <format dxfId="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0" type="button" dataOnly="0" labelOnly="1" outline="0" axis="axisRow" fieldPosition="0"/>
    </format>
    <format dxfId="6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1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60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9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8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7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6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5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54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53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52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51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50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49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48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47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46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45">
      <pivotArea dataOnly="0" labelOnly="1" fieldPosition="0">
        <references count="1">
          <reference field="0" count="21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</reference>
        </references>
      </pivotArea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0" type="button" dataOnly="0" labelOnly="1" outline="0" axis="axisRow" fieldPosition="0"/>
    </format>
    <format dxfId="4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9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8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7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6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5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4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33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32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31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30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29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28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27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26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25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24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23">
      <pivotArea dataOnly="0" labelOnly="1" fieldPosition="0">
        <references count="1">
          <reference field="0" count="21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</reference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Yellow taxi 13-19 February 202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0A353-3590-4633-8E46-DC4D1641E613}" name="PivotTable4" cacheId="19" applyNumberFormats="0" applyBorderFormats="0" applyFontFormats="0" applyPatternFormats="0" applyAlignmentFormats="0" applyWidthHeightFormats="1" dataCaption="Values" tag="a207781c-d391-4595-a10b-643f547ee827" updatedVersion="8" minRefreshableVersion="3" useAutoFormatting="1" rowGrandTotals="0" colGrandTotals="0" itemPrintTitles="1" createdVersion="8" indent="0" showHeaders="0" outline="1" outlineData="1" multipleFieldFilters="0">
  <location ref="A1:H56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</pivotField>
  </pivotFields>
  <rowFields count="1">
    <field x="2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driverID" fld="0" subtotal="count" baseField="0" baseItem="0"/>
  </dataFields>
  <formats count="21"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type="topRight" dataOnly="0" labelOnly="1" outline="0" fieldPosition="0"/>
    </format>
    <format dxfId="17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">
      <pivotArea dataOnly="0" labelOnly="1" fieldPosition="0">
        <references count="1">
          <reference field="2" count="4">
            <x v="50"/>
            <x v="51"/>
            <x v="52"/>
            <x v="53"/>
          </reference>
        </references>
      </pivotArea>
    </format>
    <format dxfId="15">
      <pivotArea dataOnly="0" labelOnly="1" fieldPosition="0">
        <references count="1">
          <reference field="1" count="0"/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type="topRight" dataOnly="0" labelOnly="1" outline="0" fieldPosition="0"/>
    </format>
    <format dxfId="10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">
      <pivotArea dataOnly="0" labelOnly="1" fieldPosition="0">
        <references count="1">
          <reference field="2" count="4">
            <x v="50"/>
            <x v="51"/>
            <x v="52"/>
            <x v="53"/>
          </reference>
        </references>
      </pivotArea>
    </format>
    <format dxfId="8">
      <pivotArea dataOnly="0" labelOnly="1" fieldPosition="0">
        <references count="1">
          <reference field="1" count="0"/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type="origin" dataOnly="0" labelOnly="1" outline="0" fieldPosition="0"/>
    </format>
    <format dxfId="4">
      <pivotArea type="topRight" dataOnly="0" labelOnly="1" outline="0" fieldPosition="0"/>
    </format>
    <format dxfId="3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">
      <pivotArea dataOnly="0" labelOnly="1" fieldPosition="0">
        <references count="1">
          <reference field="2" count="4">
            <x v="50"/>
            <x v="51"/>
            <x v="52"/>
            <x v="53"/>
          </reference>
        </references>
      </pivotArea>
    </format>
    <format dxfId="1">
      <pivotArea dataOnly="0" labelOnly="1" fieldPosition="0">
        <references count="1">
          <reference field="1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Yellow taxi 13-19 February 202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962A-F06B-4EEC-876E-1BC877E5B76A}">
  <dimension ref="A1:I57"/>
  <sheetViews>
    <sheetView workbookViewId="0">
      <selection activeCell="I8" sqref="I8"/>
    </sheetView>
  </sheetViews>
  <sheetFormatPr defaultRowHeight="14.4" x14ac:dyDescent="0.3"/>
  <cols>
    <col min="1" max="1" width="25.44140625" bestFit="1" customWidth="1"/>
    <col min="2" max="8" width="10.109375" bestFit="1" customWidth="1"/>
    <col min="9" max="9" width="19.44140625" bestFit="1" customWidth="1"/>
  </cols>
  <sheetData>
    <row r="1" spans="1:9" x14ac:dyDescent="0.3">
      <c r="A1" s="7" t="s">
        <v>60</v>
      </c>
      <c r="I1" s="8"/>
    </row>
    <row r="2" spans="1:9" x14ac:dyDescent="0.3">
      <c r="B2" s="4">
        <v>44970</v>
      </c>
      <c r="C2" s="4">
        <v>44971</v>
      </c>
      <c r="D2" s="4">
        <v>44972</v>
      </c>
      <c r="E2" s="4">
        <v>44973</v>
      </c>
      <c r="F2" s="4">
        <v>44974</v>
      </c>
      <c r="G2" s="4">
        <v>44975</v>
      </c>
      <c r="H2" s="4">
        <v>44976</v>
      </c>
      <c r="I2" s="9" t="s">
        <v>61</v>
      </c>
    </row>
    <row r="3" spans="1:9" x14ac:dyDescent="0.3">
      <c r="A3" s="5" t="s">
        <v>0</v>
      </c>
      <c r="B3" s="14">
        <v>18</v>
      </c>
      <c r="C3" s="14">
        <v>84</v>
      </c>
      <c r="D3" s="14">
        <v>170</v>
      </c>
      <c r="E3" s="14">
        <v>81</v>
      </c>
      <c r="F3" s="14">
        <v>65</v>
      </c>
      <c r="G3" s="14">
        <v>128</v>
      </c>
      <c r="H3" s="14">
        <v>18</v>
      </c>
      <c r="I3" s="6">
        <f>AVERAGE(B3:H3)/60</f>
        <v>1.3428571428571427</v>
      </c>
    </row>
    <row r="4" spans="1:9" x14ac:dyDescent="0.3">
      <c r="A4" s="5" t="s">
        <v>1</v>
      </c>
      <c r="B4" s="14">
        <v>18</v>
      </c>
      <c r="C4" s="14">
        <v>160</v>
      </c>
      <c r="D4" s="14">
        <v>228</v>
      </c>
      <c r="E4" s="14">
        <v>216</v>
      </c>
      <c r="F4" s="14">
        <v>98</v>
      </c>
      <c r="G4" s="14">
        <v>156</v>
      </c>
      <c r="H4" s="14">
        <v>165</v>
      </c>
      <c r="I4" s="6">
        <f t="shared" ref="I4:I57" si="0">AVERAGE(B4:H4)/60</f>
        <v>2.4785714285714286</v>
      </c>
    </row>
    <row r="5" spans="1:9" x14ac:dyDescent="0.3">
      <c r="A5" s="5" t="s">
        <v>2</v>
      </c>
      <c r="B5" s="14">
        <v>116</v>
      </c>
      <c r="C5" s="14">
        <v>94</v>
      </c>
      <c r="D5" s="14">
        <v>123</v>
      </c>
      <c r="E5" s="14">
        <v>281</v>
      </c>
      <c r="F5" s="14">
        <v>14</v>
      </c>
      <c r="G5" s="14">
        <v>101</v>
      </c>
      <c r="H5" s="14">
        <v>42</v>
      </c>
      <c r="I5" s="6">
        <f t="shared" si="0"/>
        <v>1.8357142857142856</v>
      </c>
    </row>
    <row r="6" spans="1:9" x14ac:dyDescent="0.3">
      <c r="A6" s="5" t="s">
        <v>3</v>
      </c>
      <c r="B6" s="14">
        <v>77</v>
      </c>
      <c r="C6" s="14">
        <v>103</v>
      </c>
      <c r="D6" s="14">
        <v>242</v>
      </c>
      <c r="E6" s="14">
        <v>160</v>
      </c>
      <c r="F6" s="14">
        <v>112</v>
      </c>
      <c r="G6" s="14">
        <v>155</v>
      </c>
      <c r="H6" s="14">
        <v>54</v>
      </c>
      <c r="I6" s="6">
        <f t="shared" si="0"/>
        <v>2.15</v>
      </c>
    </row>
    <row r="7" spans="1:9" x14ac:dyDescent="0.3">
      <c r="A7" s="5" t="s">
        <v>4</v>
      </c>
      <c r="B7" s="14">
        <v>59</v>
      </c>
      <c r="C7" s="14">
        <v>172</v>
      </c>
      <c r="D7" s="14">
        <v>161</v>
      </c>
      <c r="E7" s="14">
        <v>138</v>
      </c>
      <c r="F7" s="14">
        <v>86</v>
      </c>
      <c r="G7" s="14">
        <v>158</v>
      </c>
      <c r="H7" s="14">
        <v>123</v>
      </c>
      <c r="I7" s="6">
        <f t="shared" si="0"/>
        <v>2.1357142857142857</v>
      </c>
    </row>
    <row r="8" spans="1:9" x14ac:dyDescent="0.3">
      <c r="A8" s="5" t="s">
        <v>5</v>
      </c>
      <c r="B8" s="14">
        <v>5</v>
      </c>
      <c r="C8" s="14">
        <v>149</v>
      </c>
      <c r="D8" s="14">
        <v>94</v>
      </c>
      <c r="E8" s="14">
        <v>230</v>
      </c>
      <c r="F8" s="14">
        <v>91</v>
      </c>
      <c r="G8" s="14">
        <v>152</v>
      </c>
      <c r="H8" s="14">
        <v>66</v>
      </c>
      <c r="I8" s="6">
        <f t="shared" si="0"/>
        <v>1.8738095238095238</v>
      </c>
    </row>
    <row r="9" spans="1:9" x14ac:dyDescent="0.3">
      <c r="A9" s="5" t="s">
        <v>6</v>
      </c>
      <c r="B9" s="14">
        <v>63</v>
      </c>
      <c r="C9" s="14">
        <v>89</v>
      </c>
      <c r="D9" s="14">
        <v>309</v>
      </c>
      <c r="E9" s="14">
        <v>210</v>
      </c>
      <c r="F9" s="14">
        <v>185</v>
      </c>
      <c r="G9" s="14">
        <v>179</v>
      </c>
      <c r="H9" s="14">
        <v>114</v>
      </c>
      <c r="I9" s="6">
        <f t="shared" si="0"/>
        <v>2.7357142857142858</v>
      </c>
    </row>
    <row r="10" spans="1:9" x14ac:dyDescent="0.3">
      <c r="A10" s="5" t="s">
        <v>7</v>
      </c>
      <c r="B10" s="14">
        <v>59</v>
      </c>
      <c r="C10" s="14">
        <v>90</v>
      </c>
      <c r="D10" s="14">
        <v>151</v>
      </c>
      <c r="E10" s="14">
        <v>237</v>
      </c>
      <c r="F10" s="14">
        <v>82</v>
      </c>
      <c r="G10" s="14">
        <v>227</v>
      </c>
      <c r="H10" s="14">
        <v>137</v>
      </c>
      <c r="I10" s="6">
        <f t="shared" si="0"/>
        <v>2.3404761904761902</v>
      </c>
    </row>
    <row r="11" spans="1:9" x14ac:dyDescent="0.3">
      <c r="A11" s="5" t="s">
        <v>8</v>
      </c>
      <c r="B11" s="14">
        <v>77</v>
      </c>
      <c r="C11" s="14">
        <v>19</v>
      </c>
      <c r="D11" s="14">
        <v>137</v>
      </c>
      <c r="E11" s="14">
        <v>176</v>
      </c>
      <c r="F11" s="14">
        <v>55</v>
      </c>
      <c r="G11" s="14">
        <v>73</v>
      </c>
      <c r="H11" s="14">
        <v>65</v>
      </c>
      <c r="I11" s="6">
        <f t="shared" si="0"/>
        <v>1.4333333333333333</v>
      </c>
    </row>
    <row r="12" spans="1:9" x14ac:dyDescent="0.3">
      <c r="A12" s="5" t="s">
        <v>9</v>
      </c>
      <c r="B12" s="14">
        <v>58</v>
      </c>
      <c r="C12" s="14">
        <v>194</v>
      </c>
      <c r="D12" s="14">
        <v>210</v>
      </c>
      <c r="E12" s="14">
        <v>278</v>
      </c>
      <c r="F12" s="14">
        <v>153</v>
      </c>
      <c r="G12" s="14">
        <v>141</v>
      </c>
      <c r="H12" s="14">
        <v>66</v>
      </c>
      <c r="I12" s="6">
        <f t="shared" si="0"/>
        <v>2.6190476190476191</v>
      </c>
    </row>
    <row r="13" spans="1:9" x14ac:dyDescent="0.3">
      <c r="A13" s="5" t="s">
        <v>10</v>
      </c>
      <c r="B13" s="14">
        <v>127</v>
      </c>
      <c r="C13" s="14">
        <v>150</v>
      </c>
      <c r="D13" s="14">
        <v>102</v>
      </c>
      <c r="E13" s="14">
        <v>54</v>
      </c>
      <c r="F13" s="14">
        <v>71</v>
      </c>
      <c r="G13" s="14">
        <v>28</v>
      </c>
      <c r="H13" s="14">
        <v>90</v>
      </c>
      <c r="I13" s="6">
        <f t="shared" si="0"/>
        <v>1.480952380952381</v>
      </c>
    </row>
    <row r="14" spans="1:9" x14ac:dyDescent="0.3">
      <c r="A14" s="5" t="s">
        <v>11</v>
      </c>
      <c r="B14" s="14">
        <v>103</v>
      </c>
      <c r="C14" s="14">
        <v>139</v>
      </c>
      <c r="D14" s="14">
        <v>174</v>
      </c>
      <c r="E14" s="14">
        <v>182</v>
      </c>
      <c r="F14" s="14">
        <v>103</v>
      </c>
      <c r="G14" s="14">
        <v>235</v>
      </c>
      <c r="H14" s="14">
        <v>71</v>
      </c>
      <c r="I14" s="6">
        <f t="shared" si="0"/>
        <v>2.3976190476190475</v>
      </c>
    </row>
    <row r="15" spans="1:9" x14ac:dyDescent="0.3">
      <c r="A15" s="5" t="s">
        <v>12</v>
      </c>
      <c r="B15" s="14">
        <v>108</v>
      </c>
      <c r="C15" s="14">
        <v>127</v>
      </c>
      <c r="D15" s="14">
        <v>211</v>
      </c>
      <c r="E15" s="14">
        <v>179</v>
      </c>
      <c r="F15" s="14">
        <v>127</v>
      </c>
      <c r="G15" s="14">
        <v>124</v>
      </c>
      <c r="H15" s="14">
        <v>157</v>
      </c>
      <c r="I15" s="6">
        <f t="shared" si="0"/>
        <v>2.4595238095238097</v>
      </c>
    </row>
    <row r="16" spans="1:9" x14ac:dyDescent="0.3">
      <c r="A16" s="5" t="s">
        <v>13</v>
      </c>
      <c r="B16" s="14">
        <v>51</v>
      </c>
      <c r="C16" s="14">
        <v>105</v>
      </c>
      <c r="D16" s="14">
        <v>164</v>
      </c>
      <c r="E16" s="14">
        <v>229</v>
      </c>
      <c r="F16" s="14">
        <v>66</v>
      </c>
      <c r="G16" s="14">
        <v>26</v>
      </c>
      <c r="H16" s="14">
        <v>28</v>
      </c>
      <c r="I16" s="6">
        <f t="shared" si="0"/>
        <v>1.5928571428571427</v>
      </c>
    </row>
    <row r="17" spans="1:9" x14ac:dyDescent="0.3">
      <c r="A17" s="5" t="s">
        <v>14</v>
      </c>
      <c r="B17" s="14">
        <v>59</v>
      </c>
      <c r="C17" s="14">
        <v>132</v>
      </c>
      <c r="D17" s="14">
        <v>162</v>
      </c>
      <c r="E17" s="14">
        <v>157</v>
      </c>
      <c r="F17" s="14">
        <v>49</v>
      </c>
      <c r="G17" s="14">
        <v>122</v>
      </c>
      <c r="H17" s="14">
        <v>51</v>
      </c>
      <c r="I17" s="6">
        <f t="shared" si="0"/>
        <v>1.7428571428571429</v>
      </c>
    </row>
    <row r="18" spans="1:9" x14ac:dyDescent="0.3">
      <c r="A18" s="5" t="s">
        <v>15</v>
      </c>
      <c r="B18" s="14">
        <v>160</v>
      </c>
      <c r="C18" s="14">
        <v>156</v>
      </c>
      <c r="D18" s="14">
        <v>218</v>
      </c>
      <c r="E18" s="14">
        <v>293</v>
      </c>
      <c r="F18" s="14">
        <v>121</v>
      </c>
      <c r="G18" s="14">
        <v>141</v>
      </c>
      <c r="H18" s="14">
        <v>57</v>
      </c>
      <c r="I18" s="6">
        <f t="shared" si="0"/>
        <v>2.7285714285714286</v>
      </c>
    </row>
    <row r="19" spans="1:9" x14ac:dyDescent="0.3">
      <c r="A19" s="5" t="s">
        <v>16</v>
      </c>
      <c r="B19" s="14">
        <v>59</v>
      </c>
      <c r="C19" s="14">
        <v>132</v>
      </c>
      <c r="D19" s="14">
        <v>193</v>
      </c>
      <c r="E19" s="14">
        <v>254</v>
      </c>
      <c r="F19" s="14">
        <v>221</v>
      </c>
      <c r="G19" s="14">
        <v>165</v>
      </c>
      <c r="H19" s="14">
        <v>100</v>
      </c>
      <c r="I19" s="6">
        <f t="shared" si="0"/>
        <v>2.6761904761904765</v>
      </c>
    </row>
    <row r="20" spans="1:9" x14ac:dyDescent="0.3">
      <c r="A20" s="5" t="s">
        <v>17</v>
      </c>
      <c r="B20" s="14">
        <v>78</v>
      </c>
      <c r="C20" s="14">
        <v>93</v>
      </c>
      <c r="D20" s="14">
        <v>119</v>
      </c>
      <c r="E20" s="14">
        <v>235</v>
      </c>
      <c r="F20" s="14">
        <v>153</v>
      </c>
      <c r="G20" s="14">
        <v>208</v>
      </c>
      <c r="H20" s="14">
        <v>46</v>
      </c>
      <c r="I20" s="6">
        <f t="shared" si="0"/>
        <v>2.2190476190476192</v>
      </c>
    </row>
    <row r="21" spans="1:9" x14ac:dyDescent="0.3">
      <c r="A21" s="5" t="s">
        <v>18</v>
      </c>
      <c r="B21" s="14">
        <v>59</v>
      </c>
      <c r="C21" s="14">
        <v>75</v>
      </c>
      <c r="D21" s="14">
        <v>98</v>
      </c>
      <c r="E21" s="14">
        <v>47</v>
      </c>
      <c r="F21" s="14">
        <v>122</v>
      </c>
      <c r="G21" s="14">
        <v>125</v>
      </c>
      <c r="H21" s="14">
        <v>36</v>
      </c>
      <c r="I21" s="6">
        <f t="shared" si="0"/>
        <v>1.3380952380952382</v>
      </c>
    </row>
    <row r="22" spans="1:9" x14ac:dyDescent="0.3">
      <c r="A22" s="5" t="s">
        <v>19</v>
      </c>
      <c r="B22" s="14">
        <v>82</v>
      </c>
      <c r="C22" s="14">
        <v>186</v>
      </c>
      <c r="D22" s="14">
        <v>114</v>
      </c>
      <c r="E22" s="14">
        <v>175</v>
      </c>
      <c r="F22" s="14">
        <v>146</v>
      </c>
      <c r="G22" s="14">
        <v>141</v>
      </c>
      <c r="H22" s="14">
        <v>121</v>
      </c>
      <c r="I22" s="6">
        <f t="shared" si="0"/>
        <v>2.2976190476190479</v>
      </c>
    </row>
    <row r="23" spans="1:9" x14ac:dyDescent="0.3">
      <c r="A23" s="5" t="s">
        <v>20</v>
      </c>
      <c r="B23" s="14">
        <v>161</v>
      </c>
      <c r="C23" s="14">
        <v>142</v>
      </c>
      <c r="D23" s="14">
        <v>237</v>
      </c>
      <c r="E23" s="14">
        <v>247</v>
      </c>
      <c r="F23" s="14">
        <v>232</v>
      </c>
      <c r="G23" s="14">
        <v>138</v>
      </c>
      <c r="H23" s="14">
        <v>75</v>
      </c>
      <c r="I23" s="6">
        <f t="shared" si="0"/>
        <v>2.9333333333333331</v>
      </c>
    </row>
    <row r="24" spans="1:9" x14ac:dyDescent="0.3">
      <c r="A24" s="5" t="s">
        <v>21</v>
      </c>
      <c r="B24" s="14">
        <v>60</v>
      </c>
      <c r="C24" s="14">
        <v>188</v>
      </c>
      <c r="D24" s="14">
        <v>146</v>
      </c>
      <c r="E24" s="14">
        <v>212</v>
      </c>
      <c r="F24" s="14">
        <v>111</v>
      </c>
      <c r="G24" s="14">
        <v>167</v>
      </c>
      <c r="H24" s="14">
        <v>97</v>
      </c>
      <c r="I24" s="6">
        <f t="shared" si="0"/>
        <v>2.3357142857142859</v>
      </c>
    </row>
    <row r="25" spans="1:9" x14ac:dyDescent="0.3">
      <c r="A25" s="5" t="s">
        <v>22</v>
      </c>
      <c r="B25" s="14">
        <v>32</v>
      </c>
      <c r="C25" s="14">
        <v>78</v>
      </c>
      <c r="D25" s="14">
        <v>43</v>
      </c>
      <c r="E25" s="14">
        <v>136</v>
      </c>
      <c r="F25" s="14">
        <v>39</v>
      </c>
      <c r="G25" s="14">
        <v>185</v>
      </c>
      <c r="H25" s="14">
        <v>27</v>
      </c>
      <c r="I25" s="6">
        <f t="shared" si="0"/>
        <v>1.2857142857142856</v>
      </c>
    </row>
    <row r="26" spans="1:9" x14ac:dyDescent="0.3">
      <c r="A26" s="5" t="s">
        <v>23</v>
      </c>
      <c r="B26" s="14">
        <v>108</v>
      </c>
      <c r="C26" s="14">
        <v>98</v>
      </c>
      <c r="D26" s="14">
        <v>165</v>
      </c>
      <c r="E26" s="14">
        <v>164</v>
      </c>
      <c r="F26" s="14">
        <v>138</v>
      </c>
      <c r="G26" s="14">
        <v>163</v>
      </c>
      <c r="H26" s="14">
        <v>175</v>
      </c>
      <c r="I26" s="6">
        <f t="shared" si="0"/>
        <v>2.407142857142857</v>
      </c>
    </row>
    <row r="27" spans="1:9" x14ac:dyDescent="0.3">
      <c r="A27" s="5" t="s">
        <v>24</v>
      </c>
      <c r="B27" s="14">
        <v>88</v>
      </c>
      <c r="C27" s="14">
        <v>290</v>
      </c>
      <c r="D27" s="14">
        <v>182</v>
      </c>
      <c r="E27" s="14">
        <v>212</v>
      </c>
      <c r="F27" s="14">
        <v>94</v>
      </c>
      <c r="G27" s="14">
        <v>227</v>
      </c>
      <c r="H27" s="14">
        <v>192</v>
      </c>
      <c r="I27" s="6">
        <f t="shared" si="0"/>
        <v>3.0595238095238098</v>
      </c>
    </row>
    <row r="28" spans="1:9" x14ac:dyDescent="0.3">
      <c r="A28" s="5" t="s">
        <v>25</v>
      </c>
      <c r="B28" s="14">
        <v>82</v>
      </c>
      <c r="C28" s="14">
        <v>209</v>
      </c>
      <c r="D28" s="14">
        <v>134</v>
      </c>
      <c r="E28" s="14">
        <v>99</v>
      </c>
      <c r="F28" s="14">
        <v>228</v>
      </c>
      <c r="G28" s="14">
        <v>194</v>
      </c>
      <c r="H28" s="14">
        <v>77</v>
      </c>
      <c r="I28" s="6">
        <f t="shared" si="0"/>
        <v>2.4357142857142855</v>
      </c>
    </row>
    <row r="29" spans="1:9" x14ac:dyDescent="0.3">
      <c r="A29" s="5" t="s">
        <v>26</v>
      </c>
      <c r="B29" s="14">
        <v>94</v>
      </c>
      <c r="C29" s="14">
        <v>120</v>
      </c>
      <c r="D29" s="14">
        <v>192</v>
      </c>
      <c r="E29" s="14">
        <v>236</v>
      </c>
      <c r="F29" s="14">
        <v>185</v>
      </c>
      <c r="G29" s="14">
        <v>167</v>
      </c>
      <c r="H29" s="14">
        <v>27</v>
      </c>
      <c r="I29" s="6">
        <f t="shared" si="0"/>
        <v>2.4309523809523812</v>
      </c>
    </row>
    <row r="30" spans="1:9" x14ac:dyDescent="0.3">
      <c r="A30" s="5" t="s">
        <v>27</v>
      </c>
      <c r="B30" s="14">
        <v>123</v>
      </c>
      <c r="C30" s="14">
        <v>55</v>
      </c>
      <c r="D30" s="14">
        <v>258</v>
      </c>
      <c r="E30" s="14">
        <v>90</v>
      </c>
      <c r="F30" s="14">
        <v>94</v>
      </c>
      <c r="G30" s="14">
        <v>98</v>
      </c>
      <c r="H30" s="14">
        <v>104</v>
      </c>
      <c r="I30" s="6">
        <f t="shared" si="0"/>
        <v>1.9571428571428571</v>
      </c>
    </row>
    <row r="31" spans="1:9" x14ac:dyDescent="0.3">
      <c r="A31" s="5" t="s">
        <v>28</v>
      </c>
      <c r="B31" s="14">
        <v>165</v>
      </c>
      <c r="C31" s="14">
        <v>218</v>
      </c>
      <c r="D31" s="14">
        <v>170</v>
      </c>
      <c r="E31" s="14">
        <v>149</v>
      </c>
      <c r="F31" s="14">
        <v>220</v>
      </c>
      <c r="G31" s="14">
        <v>156</v>
      </c>
      <c r="H31" s="14">
        <v>175</v>
      </c>
      <c r="I31" s="6">
        <f t="shared" si="0"/>
        <v>2.9833333333333334</v>
      </c>
    </row>
    <row r="32" spans="1:9" x14ac:dyDescent="0.3">
      <c r="A32" s="5" t="s">
        <v>29</v>
      </c>
      <c r="B32" s="14">
        <v>28</v>
      </c>
      <c r="C32" s="14">
        <v>40</v>
      </c>
      <c r="D32" s="14">
        <v>103</v>
      </c>
      <c r="E32" s="14">
        <v>36</v>
      </c>
      <c r="F32" s="14">
        <v>63</v>
      </c>
      <c r="G32" s="14">
        <v>128</v>
      </c>
      <c r="H32" s="14">
        <v>53</v>
      </c>
      <c r="I32" s="6">
        <f t="shared" si="0"/>
        <v>1.0738095238095238</v>
      </c>
    </row>
    <row r="33" spans="1:9" x14ac:dyDescent="0.3">
      <c r="A33" s="5" t="s">
        <v>30</v>
      </c>
      <c r="B33" s="14">
        <v>56</v>
      </c>
      <c r="C33" s="14">
        <v>130</v>
      </c>
      <c r="D33" s="14">
        <v>184</v>
      </c>
      <c r="E33" s="14">
        <v>249</v>
      </c>
      <c r="F33" s="14">
        <v>116</v>
      </c>
      <c r="G33" s="14">
        <v>236</v>
      </c>
      <c r="H33" s="14">
        <v>74</v>
      </c>
      <c r="I33" s="6">
        <f t="shared" si="0"/>
        <v>2.4880952380952381</v>
      </c>
    </row>
    <row r="34" spans="1:9" x14ac:dyDescent="0.3">
      <c r="A34" s="5" t="s">
        <v>31</v>
      </c>
      <c r="B34" s="14">
        <v>172</v>
      </c>
      <c r="C34" s="14">
        <v>180</v>
      </c>
      <c r="D34" s="14">
        <v>234</v>
      </c>
      <c r="E34" s="14">
        <v>270</v>
      </c>
      <c r="F34" s="14">
        <v>45</v>
      </c>
      <c r="G34" s="14">
        <v>149</v>
      </c>
      <c r="H34" s="14">
        <v>122</v>
      </c>
      <c r="I34" s="6">
        <f t="shared" si="0"/>
        <v>2.7904761904761903</v>
      </c>
    </row>
    <row r="35" spans="1:9" x14ac:dyDescent="0.3">
      <c r="A35" s="5" t="s">
        <v>32</v>
      </c>
      <c r="B35" s="14">
        <v>138</v>
      </c>
      <c r="C35" s="14">
        <v>252</v>
      </c>
      <c r="D35" s="14">
        <v>330</v>
      </c>
      <c r="E35" s="14">
        <v>243</v>
      </c>
      <c r="F35" s="14">
        <v>178</v>
      </c>
      <c r="G35" s="14">
        <v>209</v>
      </c>
      <c r="H35" s="14">
        <v>103</v>
      </c>
      <c r="I35" s="6">
        <f t="shared" si="0"/>
        <v>3.4595238095238097</v>
      </c>
    </row>
    <row r="36" spans="1:9" x14ac:dyDescent="0.3">
      <c r="A36" s="5" t="s">
        <v>33</v>
      </c>
      <c r="B36" s="14">
        <v>131</v>
      </c>
      <c r="C36" s="14">
        <v>185</v>
      </c>
      <c r="D36" s="14">
        <v>145</v>
      </c>
      <c r="E36" s="14">
        <v>259</v>
      </c>
      <c r="F36" s="14">
        <v>266</v>
      </c>
      <c r="G36" s="14">
        <v>189</v>
      </c>
      <c r="H36" s="14">
        <v>79</v>
      </c>
      <c r="I36" s="6">
        <f t="shared" si="0"/>
        <v>2.9857142857142858</v>
      </c>
    </row>
    <row r="37" spans="1:9" x14ac:dyDescent="0.3">
      <c r="A37" s="5" t="s">
        <v>34</v>
      </c>
      <c r="B37" s="14">
        <v>199</v>
      </c>
      <c r="C37" s="14">
        <v>188</v>
      </c>
      <c r="D37" s="14">
        <v>252</v>
      </c>
      <c r="E37" s="14">
        <v>170</v>
      </c>
      <c r="F37" s="14">
        <v>200</v>
      </c>
      <c r="G37" s="14">
        <v>170</v>
      </c>
      <c r="H37" s="14">
        <v>130</v>
      </c>
      <c r="I37" s="6">
        <f t="shared" si="0"/>
        <v>3.1166666666666667</v>
      </c>
    </row>
    <row r="38" spans="1:9" x14ac:dyDescent="0.3">
      <c r="A38" s="5" t="s">
        <v>35</v>
      </c>
      <c r="B38" s="14">
        <v>68</v>
      </c>
      <c r="C38" s="14">
        <v>159</v>
      </c>
      <c r="D38" s="14">
        <v>138</v>
      </c>
      <c r="E38" s="14">
        <v>192</v>
      </c>
      <c r="F38" s="14">
        <v>201</v>
      </c>
      <c r="G38" s="14">
        <v>104</v>
      </c>
      <c r="H38" s="14">
        <v>109</v>
      </c>
      <c r="I38" s="6">
        <f t="shared" si="0"/>
        <v>2.3119047619047621</v>
      </c>
    </row>
    <row r="39" spans="1:9" x14ac:dyDescent="0.3">
      <c r="A39" s="5" t="s">
        <v>36</v>
      </c>
      <c r="B39" s="14">
        <v>114</v>
      </c>
      <c r="C39" s="14">
        <v>186</v>
      </c>
      <c r="D39" s="14">
        <v>133</v>
      </c>
      <c r="E39" s="14">
        <v>140</v>
      </c>
      <c r="F39" s="14">
        <v>215</v>
      </c>
      <c r="G39" s="14">
        <v>243</v>
      </c>
      <c r="H39" s="14">
        <v>80</v>
      </c>
      <c r="I39" s="6">
        <f t="shared" si="0"/>
        <v>2.6452380952380952</v>
      </c>
    </row>
    <row r="40" spans="1:9" x14ac:dyDescent="0.3">
      <c r="A40" s="5" t="s">
        <v>37</v>
      </c>
      <c r="B40" s="14">
        <v>153</v>
      </c>
      <c r="C40" s="14">
        <v>132</v>
      </c>
      <c r="D40" s="14">
        <v>244</v>
      </c>
      <c r="E40" s="14">
        <v>358</v>
      </c>
      <c r="F40" s="14">
        <v>169</v>
      </c>
      <c r="G40" s="14">
        <v>138</v>
      </c>
      <c r="H40" s="14">
        <v>48</v>
      </c>
      <c r="I40" s="6">
        <f t="shared" si="0"/>
        <v>2.9571428571428569</v>
      </c>
    </row>
    <row r="41" spans="1:9" x14ac:dyDescent="0.3">
      <c r="A41" s="5" t="s">
        <v>38</v>
      </c>
      <c r="B41" s="14">
        <v>122</v>
      </c>
      <c r="C41" s="14">
        <v>135</v>
      </c>
      <c r="D41" s="14">
        <v>260</v>
      </c>
      <c r="E41" s="14">
        <v>307</v>
      </c>
      <c r="F41" s="14">
        <v>166</v>
      </c>
      <c r="G41" s="14">
        <v>219</v>
      </c>
      <c r="H41" s="14">
        <v>53</v>
      </c>
      <c r="I41" s="6">
        <f t="shared" si="0"/>
        <v>3.0047619047619047</v>
      </c>
    </row>
    <row r="42" spans="1:9" x14ac:dyDescent="0.3">
      <c r="A42" s="5" t="s">
        <v>39</v>
      </c>
      <c r="B42" s="14">
        <v>107</v>
      </c>
      <c r="C42" s="14">
        <v>170</v>
      </c>
      <c r="D42" s="14">
        <v>199</v>
      </c>
      <c r="E42" s="14">
        <v>230</v>
      </c>
      <c r="F42" s="14">
        <v>138</v>
      </c>
      <c r="G42" s="14">
        <v>139</v>
      </c>
      <c r="H42" s="14">
        <v>112</v>
      </c>
      <c r="I42" s="6">
        <f t="shared" si="0"/>
        <v>2.6071428571428568</v>
      </c>
    </row>
    <row r="43" spans="1:9" x14ac:dyDescent="0.3">
      <c r="A43" s="5" t="s">
        <v>40</v>
      </c>
      <c r="B43" s="14">
        <v>105</v>
      </c>
      <c r="C43" s="14">
        <v>66</v>
      </c>
      <c r="D43" s="14">
        <v>139</v>
      </c>
      <c r="E43" s="14">
        <v>149</v>
      </c>
      <c r="F43" s="14">
        <v>24</v>
      </c>
      <c r="G43" s="14">
        <v>116</v>
      </c>
      <c r="H43" s="14">
        <v>56</v>
      </c>
      <c r="I43" s="6">
        <f t="shared" si="0"/>
        <v>1.5595238095238095</v>
      </c>
    </row>
    <row r="44" spans="1:9" x14ac:dyDescent="0.3">
      <c r="A44" s="5" t="s">
        <v>41</v>
      </c>
      <c r="B44" s="14">
        <v>68</v>
      </c>
      <c r="C44" s="14">
        <v>158</v>
      </c>
      <c r="D44" s="14">
        <v>235</v>
      </c>
      <c r="E44" s="14">
        <v>194</v>
      </c>
      <c r="F44" s="14">
        <v>182</v>
      </c>
      <c r="G44" s="14">
        <v>197</v>
      </c>
      <c r="H44" s="14">
        <v>135</v>
      </c>
      <c r="I44" s="6">
        <f t="shared" si="0"/>
        <v>2.7833333333333332</v>
      </c>
    </row>
    <row r="45" spans="1:9" x14ac:dyDescent="0.3">
      <c r="A45" s="5" t="s">
        <v>42</v>
      </c>
      <c r="B45" s="14">
        <v>23</v>
      </c>
      <c r="C45" s="14">
        <v>89</v>
      </c>
      <c r="D45" s="14">
        <v>27</v>
      </c>
      <c r="E45" s="14">
        <v>122</v>
      </c>
      <c r="F45" s="14">
        <v>60</v>
      </c>
      <c r="G45" s="14">
        <v>103</v>
      </c>
      <c r="H45" s="14">
        <v>37</v>
      </c>
      <c r="I45" s="6">
        <f t="shared" si="0"/>
        <v>1.0976190476190477</v>
      </c>
    </row>
    <row r="46" spans="1:9" x14ac:dyDescent="0.3">
      <c r="A46" s="5" t="s">
        <v>43</v>
      </c>
      <c r="B46" s="14">
        <v>27</v>
      </c>
      <c r="C46" s="14">
        <v>80</v>
      </c>
      <c r="D46" s="14">
        <v>96</v>
      </c>
      <c r="E46" s="14">
        <v>109</v>
      </c>
      <c r="F46" s="14">
        <v>91</v>
      </c>
      <c r="G46" s="14">
        <v>70</v>
      </c>
      <c r="H46" s="14">
        <v>21</v>
      </c>
      <c r="I46" s="6">
        <f t="shared" si="0"/>
        <v>1.1761904761904762</v>
      </c>
    </row>
    <row r="47" spans="1:9" x14ac:dyDescent="0.3">
      <c r="A47" s="5" t="s">
        <v>44</v>
      </c>
      <c r="B47" s="14">
        <v>26</v>
      </c>
      <c r="C47" s="14">
        <v>146</v>
      </c>
      <c r="D47" s="14">
        <v>50</v>
      </c>
      <c r="E47" s="14">
        <v>131</v>
      </c>
      <c r="F47" s="14">
        <v>123</v>
      </c>
      <c r="G47" s="14">
        <v>58</v>
      </c>
      <c r="H47" s="14">
        <v>44</v>
      </c>
      <c r="I47" s="6">
        <f t="shared" si="0"/>
        <v>1.3761904761904762</v>
      </c>
    </row>
    <row r="48" spans="1:9" x14ac:dyDescent="0.3">
      <c r="A48" s="5" t="s">
        <v>45</v>
      </c>
      <c r="B48" s="14">
        <v>55</v>
      </c>
      <c r="C48" s="14">
        <v>81</v>
      </c>
      <c r="D48" s="14">
        <v>38</v>
      </c>
      <c r="E48" s="14">
        <v>138</v>
      </c>
      <c r="F48" s="14">
        <v>36</v>
      </c>
      <c r="G48" s="14">
        <v>144</v>
      </c>
      <c r="H48" s="14">
        <v>60</v>
      </c>
      <c r="I48" s="6">
        <f t="shared" si="0"/>
        <v>1.3142857142857143</v>
      </c>
    </row>
    <row r="49" spans="1:9" x14ac:dyDescent="0.3">
      <c r="A49" s="5" t="s">
        <v>46</v>
      </c>
      <c r="B49" s="14">
        <v>30</v>
      </c>
      <c r="C49" s="14">
        <v>107</v>
      </c>
      <c r="D49" s="14">
        <v>190</v>
      </c>
      <c r="E49" s="14">
        <v>187</v>
      </c>
      <c r="F49" s="14">
        <v>161</v>
      </c>
      <c r="G49" s="14">
        <v>243</v>
      </c>
      <c r="H49" s="14">
        <v>118</v>
      </c>
      <c r="I49" s="6">
        <f t="shared" si="0"/>
        <v>2.4666666666666668</v>
      </c>
    </row>
    <row r="50" spans="1:9" x14ac:dyDescent="0.3">
      <c r="A50" s="5" t="s">
        <v>47</v>
      </c>
      <c r="B50" s="14">
        <v>87</v>
      </c>
      <c r="C50" s="14">
        <v>277</v>
      </c>
      <c r="D50" s="14">
        <v>226</v>
      </c>
      <c r="E50" s="14">
        <v>269</v>
      </c>
      <c r="F50" s="14">
        <v>244</v>
      </c>
      <c r="G50" s="14">
        <v>239</v>
      </c>
      <c r="H50" s="14">
        <v>166</v>
      </c>
      <c r="I50" s="6">
        <f t="shared" si="0"/>
        <v>3.5904761904761902</v>
      </c>
    </row>
    <row r="51" spans="1:9" x14ac:dyDescent="0.3">
      <c r="A51" s="5" t="s">
        <v>48</v>
      </c>
      <c r="B51" s="14">
        <v>96</v>
      </c>
      <c r="C51" s="14">
        <v>102</v>
      </c>
      <c r="D51" s="14">
        <v>220</v>
      </c>
      <c r="E51" s="14">
        <v>237</v>
      </c>
      <c r="F51" s="14">
        <v>93</v>
      </c>
      <c r="G51" s="14">
        <v>162</v>
      </c>
      <c r="H51" s="14">
        <v>105</v>
      </c>
      <c r="I51" s="6">
        <f t="shared" si="0"/>
        <v>2.4166666666666665</v>
      </c>
    </row>
    <row r="52" spans="1:9" x14ac:dyDescent="0.3">
      <c r="A52" s="5" t="s">
        <v>49</v>
      </c>
      <c r="B52" s="14">
        <v>94</v>
      </c>
      <c r="C52" s="14">
        <v>179</v>
      </c>
      <c r="D52" s="14">
        <v>152</v>
      </c>
      <c r="E52" s="14">
        <v>249</v>
      </c>
      <c r="F52" s="14">
        <v>89</v>
      </c>
      <c r="G52" s="14">
        <v>169</v>
      </c>
      <c r="H52" s="14">
        <v>81</v>
      </c>
      <c r="I52" s="6">
        <f t="shared" si="0"/>
        <v>2.4119047619047622</v>
      </c>
    </row>
    <row r="53" spans="1:9" x14ac:dyDescent="0.3">
      <c r="A53" s="5" t="s">
        <v>50</v>
      </c>
      <c r="B53" s="14">
        <v>49</v>
      </c>
      <c r="C53" s="14">
        <v>87</v>
      </c>
      <c r="D53" s="14">
        <v>73</v>
      </c>
      <c r="E53" s="14">
        <v>145</v>
      </c>
      <c r="F53" s="14">
        <v>62</v>
      </c>
      <c r="G53" s="14">
        <v>84</v>
      </c>
      <c r="H53" s="14">
        <v>74</v>
      </c>
      <c r="I53" s="6">
        <f t="shared" si="0"/>
        <v>1.3666666666666667</v>
      </c>
    </row>
    <row r="54" spans="1:9" x14ac:dyDescent="0.3">
      <c r="A54" s="5" t="s">
        <v>51</v>
      </c>
      <c r="B54" s="14">
        <v>62</v>
      </c>
      <c r="C54" s="14">
        <v>99</v>
      </c>
      <c r="D54" s="14">
        <v>96</v>
      </c>
      <c r="E54" s="14">
        <v>190</v>
      </c>
      <c r="F54" s="14">
        <v>153</v>
      </c>
      <c r="G54" s="14">
        <v>249</v>
      </c>
      <c r="H54" s="14">
        <v>110</v>
      </c>
      <c r="I54" s="6">
        <f t="shared" si="0"/>
        <v>2.2833333333333332</v>
      </c>
    </row>
    <row r="55" spans="1:9" x14ac:dyDescent="0.3">
      <c r="A55" s="5" t="s">
        <v>52</v>
      </c>
      <c r="B55" s="14">
        <v>30</v>
      </c>
      <c r="C55" s="14">
        <v>56</v>
      </c>
      <c r="D55" s="14">
        <v>116</v>
      </c>
      <c r="E55" s="14">
        <v>200</v>
      </c>
      <c r="F55" s="14">
        <v>68</v>
      </c>
      <c r="G55" s="14">
        <v>111</v>
      </c>
      <c r="H55" s="14">
        <v>20</v>
      </c>
      <c r="I55" s="6">
        <f t="shared" si="0"/>
        <v>1.430952380952381</v>
      </c>
    </row>
    <row r="56" spans="1:9" x14ac:dyDescent="0.3">
      <c r="A56" s="5" t="s">
        <v>53</v>
      </c>
      <c r="B56" s="14">
        <v>47</v>
      </c>
      <c r="C56" s="14">
        <v>125</v>
      </c>
      <c r="D56" s="14">
        <v>46</v>
      </c>
      <c r="E56" s="14">
        <v>78</v>
      </c>
      <c r="F56" s="14">
        <v>98</v>
      </c>
      <c r="G56" s="14">
        <v>64</v>
      </c>
      <c r="H56" s="14">
        <v>50</v>
      </c>
      <c r="I56" s="6">
        <f t="shared" si="0"/>
        <v>1.2095238095238094</v>
      </c>
    </row>
    <row r="57" spans="1:9" x14ac:dyDescent="0.3">
      <c r="A57" s="5" t="s">
        <v>54</v>
      </c>
      <c r="B57" s="14">
        <v>4436</v>
      </c>
      <c r="C57" s="14">
        <v>7256</v>
      </c>
      <c r="D57" s="14">
        <v>8833</v>
      </c>
      <c r="E57" s="14">
        <v>10209</v>
      </c>
      <c r="F57" s="14">
        <v>6702</v>
      </c>
      <c r="G57" s="14">
        <v>8213</v>
      </c>
      <c r="H57" s="14">
        <v>4596</v>
      </c>
      <c r="I57" s="10">
        <f t="shared" si="0"/>
        <v>119.63095238095238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"/>
  <sheetViews>
    <sheetView zoomScaleNormal="100" zoomScaleSheetLayoutView="100" workbookViewId="0">
      <selection activeCell="B5" sqref="B5"/>
    </sheetView>
  </sheetViews>
  <sheetFormatPr defaultRowHeight="14.4" x14ac:dyDescent="0.3"/>
  <cols>
    <col min="1" max="1" width="10.77734375" bestFit="1" customWidth="1"/>
    <col min="2" max="2" width="18.77734375" bestFit="1" customWidth="1"/>
    <col min="3" max="3" width="19.77734375" hidden="1" customWidth="1"/>
    <col min="4" max="4" width="18.77734375" bestFit="1" customWidth="1"/>
    <col min="5" max="5" width="19.77734375" hidden="1" customWidth="1"/>
    <col min="6" max="6" width="18.77734375" bestFit="1" customWidth="1"/>
    <col min="7" max="7" width="19.77734375" hidden="1" customWidth="1"/>
    <col min="8" max="8" width="18.77734375" bestFit="1" customWidth="1"/>
    <col min="9" max="9" width="19.77734375" hidden="1" customWidth="1"/>
    <col min="10" max="10" width="18.77734375" bestFit="1" customWidth="1"/>
    <col min="11" max="11" width="19.77734375" hidden="1" customWidth="1"/>
    <col min="12" max="12" width="18.77734375" bestFit="1" customWidth="1"/>
    <col min="13" max="13" width="19.77734375" hidden="1" customWidth="1"/>
    <col min="14" max="14" width="18.77734375" bestFit="1" customWidth="1"/>
    <col min="15" max="15" width="19.77734375" hidden="1" customWidth="1"/>
    <col min="16" max="16" width="30.21875" hidden="1" customWidth="1"/>
    <col min="17" max="17" width="24.5546875" bestFit="1" customWidth="1"/>
    <col min="18" max="18" width="19.77734375" bestFit="1" customWidth="1"/>
    <col min="19" max="19" width="14" bestFit="1" customWidth="1"/>
    <col min="20" max="20" width="25.44140625" bestFit="1" customWidth="1"/>
    <col min="21" max="21" width="19.77734375" bestFit="1" customWidth="1"/>
    <col min="22" max="22" width="14" bestFit="1" customWidth="1"/>
    <col min="23" max="23" width="30.21875" bestFit="1" customWidth="1"/>
    <col min="24" max="24" width="24.5546875" bestFit="1" customWidth="1"/>
    <col min="25" max="25" width="18.77734375" bestFit="1" customWidth="1"/>
    <col min="26" max="222" width="15.21875" bestFit="1" customWidth="1"/>
    <col min="223" max="223" width="10.109375" bestFit="1" customWidth="1"/>
    <col min="224" max="524" width="15.21875" bestFit="1" customWidth="1"/>
    <col min="525" max="525" width="10.109375" bestFit="1" customWidth="1"/>
    <col min="526" max="841" width="15.21875" bestFit="1" customWidth="1"/>
    <col min="842" max="842" width="10.109375" bestFit="1" customWidth="1"/>
    <col min="843" max="1157" width="15.21875" bestFit="1" customWidth="1"/>
    <col min="1158" max="1158" width="10.109375" bestFit="1" customWidth="1"/>
    <col min="1159" max="1441" width="15.21875" bestFit="1" customWidth="1"/>
    <col min="1442" max="1442" width="10.109375" bestFit="1" customWidth="1"/>
    <col min="1443" max="1753" width="15.21875" bestFit="1" customWidth="1"/>
    <col min="1754" max="1754" width="10.109375" bestFit="1" customWidth="1"/>
    <col min="1755" max="1992" width="15.21875" bestFit="1" customWidth="1"/>
    <col min="1993" max="1993" width="10.77734375" bestFit="1" customWidth="1"/>
  </cols>
  <sheetData>
    <row r="1" spans="1:17" x14ac:dyDescent="0.3">
      <c r="A1" s="1"/>
      <c r="B1" s="2">
        <v>44970</v>
      </c>
      <c r="C1" s="1"/>
      <c r="D1" s="2">
        <v>44971</v>
      </c>
      <c r="E1" s="1"/>
      <c r="F1" s="2">
        <v>44972</v>
      </c>
      <c r="G1" s="1"/>
      <c r="H1" s="2">
        <v>44973</v>
      </c>
      <c r="I1" s="1"/>
      <c r="J1" s="2">
        <v>44974</v>
      </c>
      <c r="K1" s="1"/>
      <c r="L1" s="2">
        <v>44975</v>
      </c>
      <c r="M1" s="1"/>
      <c r="N1" s="2">
        <v>44976</v>
      </c>
      <c r="O1" s="1"/>
      <c r="P1" s="1" t="s">
        <v>57</v>
      </c>
      <c r="Q1" s="1" t="s">
        <v>55</v>
      </c>
    </row>
    <row r="2" spans="1:17" x14ac:dyDescent="0.3">
      <c r="A2" s="1"/>
      <c r="B2" s="1" t="s">
        <v>58</v>
      </c>
      <c r="C2" s="1" t="s">
        <v>56</v>
      </c>
      <c r="D2" s="1" t="s">
        <v>58</v>
      </c>
      <c r="E2" s="1" t="s">
        <v>56</v>
      </c>
      <c r="F2" s="1" t="s">
        <v>58</v>
      </c>
      <c r="G2" s="1" t="s">
        <v>56</v>
      </c>
      <c r="H2" s="1" t="s">
        <v>58</v>
      </c>
      <c r="I2" s="1" t="s">
        <v>56</v>
      </c>
      <c r="J2" s="1" t="s">
        <v>58</v>
      </c>
      <c r="K2" s="1" t="s">
        <v>56</v>
      </c>
      <c r="L2" s="1" t="s">
        <v>58</v>
      </c>
      <c r="M2" s="1" t="s">
        <v>56</v>
      </c>
      <c r="N2" s="1" t="s">
        <v>58</v>
      </c>
      <c r="O2" s="1" t="s">
        <v>56</v>
      </c>
      <c r="P2" s="1"/>
      <c r="Q2" s="1"/>
    </row>
    <row r="3" spans="1:17" x14ac:dyDescent="0.3">
      <c r="A3" s="1" t="s">
        <v>0</v>
      </c>
      <c r="B3" s="15">
        <v>18</v>
      </c>
      <c r="C3" s="15">
        <v>0.3</v>
      </c>
      <c r="D3" s="15">
        <v>84</v>
      </c>
      <c r="E3" s="15">
        <v>1.4</v>
      </c>
      <c r="F3" s="15">
        <v>170</v>
      </c>
      <c r="G3" s="15">
        <v>2.8333333333333335</v>
      </c>
      <c r="H3" s="15">
        <v>81</v>
      </c>
      <c r="I3" s="15">
        <v>1.35</v>
      </c>
      <c r="J3" s="15">
        <v>65</v>
      </c>
      <c r="K3" s="15">
        <v>1.0833333333333333</v>
      </c>
      <c r="L3" s="15">
        <v>128</v>
      </c>
      <c r="M3" s="15">
        <v>2.1333333333333333</v>
      </c>
      <c r="N3" s="15">
        <v>18</v>
      </c>
      <c r="O3" s="15">
        <v>0.3</v>
      </c>
      <c r="P3" s="15">
        <v>564</v>
      </c>
      <c r="Q3" s="3">
        <v>1.3428571428571427</v>
      </c>
    </row>
    <row r="4" spans="1:17" x14ac:dyDescent="0.3">
      <c r="A4" s="1" t="s">
        <v>1</v>
      </c>
      <c r="B4" s="15">
        <v>18</v>
      </c>
      <c r="C4" s="15">
        <v>0.3</v>
      </c>
      <c r="D4" s="15">
        <v>160</v>
      </c>
      <c r="E4" s="15">
        <v>2.6666666666666665</v>
      </c>
      <c r="F4" s="15">
        <v>228</v>
      </c>
      <c r="G4" s="15">
        <v>3.8</v>
      </c>
      <c r="H4" s="15">
        <v>216</v>
      </c>
      <c r="I4" s="15">
        <v>3.6</v>
      </c>
      <c r="J4" s="15">
        <v>98</v>
      </c>
      <c r="K4" s="15">
        <v>1.6333333333333333</v>
      </c>
      <c r="L4" s="15">
        <v>156</v>
      </c>
      <c r="M4" s="15">
        <v>2.6</v>
      </c>
      <c r="N4" s="15">
        <v>165</v>
      </c>
      <c r="O4" s="15">
        <v>2.75</v>
      </c>
      <c r="P4" s="15">
        <v>1041</v>
      </c>
      <c r="Q4" s="3">
        <v>2.4785714285714286</v>
      </c>
    </row>
    <row r="5" spans="1:17" x14ac:dyDescent="0.3">
      <c r="A5" s="1" t="s">
        <v>2</v>
      </c>
      <c r="B5" s="15">
        <v>116</v>
      </c>
      <c r="C5" s="15">
        <v>1.9333333333333333</v>
      </c>
      <c r="D5" s="15">
        <v>94</v>
      </c>
      <c r="E5" s="15">
        <v>1.5666666666666667</v>
      </c>
      <c r="F5" s="15">
        <v>123</v>
      </c>
      <c r="G5" s="15">
        <v>2.0499999999999998</v>
      </c>
      <c r="H5" s="15">
        <v>281</v>
      </c>
      <c r="I5" s="15">
        <v>4.6833333333333336</v>
      </c>
      <c r="J5" s="15">
        <v>14</v>
      </c>
      <c r="K5" s="15">
        <v>0.23333333333333334</v>
      </c>
      <c r="L5" s="15">
        <v>101</v>
      </c>
      <c r="M5" s="15">
        <v>1.6833333333333333</v>
      </c>
      <c r="N5" s="15">
        <v>42</v>
      </c>
      <c r="O5" s="15">
        <v>0.7</v>
      </c>
      <c r="P5" s="15">
        <v>771</v>
      </c>
      <c r="Q5" s="3">
        <v>1.8357142857142856</v>
      </c>
    </row>
    <row r="6" spans="1:17" x14ac:dyDescent="0.3">
      <c r="A6" s="1" t="s">
        <v>3</v>
      </c>
      <c r="B6" s="15">
        <v>77</v>
      </c>
      <c r="C6" s="15">
        <v>1.2833333333333334</v>
      </c>
      <c r="D6" s="15">
        <v>103</v>
      </c>
      <c r="E6" s="15">
        <v>1.7166666666666666</v>
      </c>
      <c r="F6" s="15">
        <v>242</v>
      </c>
      <c r="G6" s="15">
        <v>4.0333333333333332</v>
      </c>
      <c r="H6" s="15">
        <v>160</v>
      </c>
      <c r="I6" s="15">
        <v>2.6666666666666665</v>
      </c>
      <c r="J6" s="15">
        <v>112</v>
      </c>
      <c r="K6" s="15">
        <v>1.8666666666666667</v>
      </c>
      <c r="L6" s="15">
        <v>155</v>
      </c>
      <c r="M6" s="15">
        <v>2.5833333333333335</v>
      </c>
      <c r="N6" s="15">
        <v>54</v>
      </c>
      <c r="O6" s="15">
        <v>0.9</v>
      </c>
      <c r="P6" s="15">
        <v>903</v>
      </c>
      <c r="Q6" s="3">
        <v>2.15</v>
      </c>
    </row>
    <row r="7" spans="1:17" x14ac:dyDescent="0.3">
      <c r="A7" s="1" t="s">
        <v>4</v>
      </c>
      <c r="B7" s="15">
        <v>59</v>
      </c>
      <c r="C7" s="15">
        <v>0.98333333333333328</v>
      </c>
      <c r="D7" s="15">
        <v>172</v>
      </c>
      <c r="E7" s="15">
        <v>2.8666666666666667</v>
      </c>
      <c r="F7" s="15">
        <v>161</v>
      </c>
      <c r="G7" s="15">
        <v>2.6833333333333331</v>
      </c>
      <c r="H7" s="15">
        <v>138</v>
      </c>
      <c r="I7" s="15">
        <v>2.2999999999999998</v>
      </c>
      <c r="J7" s="15">
        <v>86</v>
      </c>
      <c r="K7" s="15">
        <v>1.4333333333333333</v>
      </c>
      <c r="L7" s="15">
        <v>158</v>
      </c>
      <c r="M7" s="15">
        <v>2.6333333333333333</v>
      </c>
      <c r="N7" s="15">
        <v>123</v>
      </c>
      <c r="O7" s="15">
        <v>2.0499999999999998</v>
      </c>
      <c r="P7" s="15">
        <v>897</v>
      </c>
      <c r="Q7" s="3">
        <v>2.1357142857142857</v>
      </c>
    </row>
    <row r="8" spans="1:17" x14ac:dyDescent="0.3">
      <c r="A8" s="1" t="s">
        <v>5</v>
      </c>
      <c r="B8" s="15">
        <v>5</v>
      </c>
      <c r="C8" s="15">
        <v>8.3333333333333329E-2</v>
      </c>
      <c r="D8" s="15">
        <v>149</v>
      </c>
      <c r="E8" s="15">
        <v>2.4833333333333334</v>
      </c>
      <c r="F8" s="15">
        <v>94</v>
      </c>
      <c r="G8" s="15">
        <v>1.5666666666666667</v>
      </c>
      <c r="H8" s="15">
        <v>230</v>
      </c>
      <c r="I8" s="15">
        <v>3.8333333333333335</v>
      </c>
      <c r="J8" s="15">
        <v>91</v>
      </c>
      <c r="K8" s="15">
        <v>1.5166666666666666</v>
      </c>
      <c r="L8" s="15">
        <v>152</v>
      </c>
      <c r="M8" s="15">
        <v>2.5333333333333332</v>
      </c>
      <c r="N8" s="15">
        <v>66</v>
      </c>
      <c r="O8" s="15">
        <v>1.1000000000000001</v>
      </c>
      <c r="P8" s="15">
        <v>787</v>
      </c>
      <c r="Q8" s="3">
        <v>1.8738095238095238</v>
      </c>
    </row>
    <row r="9" spans="1:17" x14ac:dyDescent="0.3">
      <c r="A9" s="1" t="s">
        <v>6</v>
      </c>
      <c r="B9" s="15">
        <v>63</v>
      </c>
      <c r="C9" s="15">
        <v>1.05</v>
      </c>
      <c r="D9" s="15">
        <v>89</v>
      </c>
      <c r="E9" s="15">
        <v>1.4833333333333334</v>
      </c>
      <c r="F9" s="15">
        <v>309</v>
      </c>
      <c r="G9" s="15">
        <v>5.15</v>
      </c>
      <c r="H9" s="15">
        <v>210</v>
      </c>
      <c r="I9" s="15">
        <v>3.5</v>
      </c>
      <c r="J9" s="15">
        <v>185</v>
      </c>
      <c r="K9" s="15">
        <v>3.0833333333333335</v>
      </c>
      <c r="L9" s="15">
        <v>179</v>
      </c>
      <c r="M9" s="15">
        <v>2.9833333333333334</v>
      </c>
      <c r="N9" s="15">
        <v>114</v>
      </c>
      <c r="O9" s="15">
        <v>1.9</v>
      </c>
      <c r="P9" s="15">
        <v>1149</v>
      </c>
      <c r="Q9" s="3">
        <v>2.7357142857142858</v>
      </c>
    </row>
    <row r="10" spans="1:17" x14ac:dyDescent="0.3">
      <c r="A10" s="1" t="s">
        <v>7</v>
      </c>
      <c r="B10" s="15">
        <v>59</v>
      </c>
      <c r="C10" s="15">
        <v>0.98333333333333328</v>
      </c>
      <c r="D10" s="15">
        <v>90</v>
      </c>
      <c r="E10" s="15">
        <v>1.5</v>
      </c>
      <c r="F10" s="15">
        <v>151</v>
      </c>
      <c r="G10" s="15">
        <v>2.5166666666666666</v>
      </c>
      <c r="H10" s="15">
        <v>237</v>
      </c>
      <c r="I10" s="15">
        <v>3.95</v>
      </c>
      <c r="J10" s="15">
        <v>82</v>
      </c>
      <c r="K10" s="15">
        <v>1.3666666666666667</v>
      </c>
      <c r="L10" s="15">
        <v>227</v>
      </c>
      <c r="M10" s="15">
        <v>3.7833333333333332</v>
      </c>
      <c r="N10" s="15">
        <v>137</v>
      </c>
      <c r="O10" s="15">
        <v>2.2833333333333332</v>
      </c>
      <c r="P10" s="15">
        <v>983</v>
      </c>
      <c r="Q10" s="3">
        <v>2.3404761904761902</v>
      </c>
    </row>
    <row r="11" spans="1:17" x14ac:dyDescent="0.3">
      <c r="A11" s="1" t="s">
        <v>8</v>
      </c>
      <c r="B11" s="15">
        <v>77</v>
      </c>
      <c r="C11" s="15">
        <v>1.2833333333333334</v>
      </c>
      <c r="D11" s="15">
        <v>19</v>
      </c>
      <c r="E11" s="15">
        <v>0.31666666666666665</v>
      </c>
      <c r="F11" s="15">
        <v>137</v>
      </c>
      <c r="G11" s="15">
        <v>2.2833333333333332</v>
      </c>
      <c r="H11" s="15">
        <v>176</v>
      </c>
      <c r="I11" s="15">
        <v>2.9333333333333331</v>
      </c>
      <c r="J11" s="15">
        <v>55</v>
      </c>
      <c r="K11" s="15">
        <v>0.91666666666666663</v>
      </c>
      <c r="L11" s="15">
        <v>73</v>
      </c>
      <c r="M11" s="15">
        <v>1.2166666666666666</v>
      </c>
      <c r="N11" s="15">
        <v>65</v>
      </c>
      <c r="O11" s="15">
        <v>1.0833333333333333</v>
      </c>
      <c r="P11" s="15">
        <v>602</v>
      </c>
      <c r="Q11" s="3">
        <v>1.4333333333333333</v>
      </c>
    </row>
    <row r="12" spans="1:17" x14ac:dyDescent="0.3">
      <c r="A12" s="1" t="s">
        <v>9</v>
      </c>
      <c r="B12" s="15">
        <v>58</v>
      </c>
      <c r="C12" s="15">
        <v>0.96666666666666667</v>
      </c>
      <c r="D12" s="15">
        <v>194</v>
      </c>
      <c r="E12" s="15">
        <v>3.2333333333333334</v>
      </c>
      <c r="F12" s="15">
        <v>210</v>
      </c>
      <c r="G12" s="15">
        <v>3.5</v>
      </c>
      <c r="H12" s="15">
        <v>278</v>
      </c>
      <c r="I12" s="15">
        <v>4.6333333333333337</v>
      </c>
      <c r="J12" s="15">
        <v>153</v>
      </c>
      <c r="K12" s="15">
        <v>2.5499999999999998</v>
      </c>
      <c r="L12" s="15">
        <v>141</v>
      </c>
      <c r="M12" s="15">
        <v>2.35</v>
      </c>
      <c r="N12" s="15">
        <v>66</v>
      </c>
      <c r="O12" s="15">
        <v>1.1000000000000001</v>
      </c>
      <c r="P12" s="15">
        <v>1100</v>
      </c>
      <c r="Q12" s="3">
        <v>2.6190476190476191</v>
      </c>
    </row>
    <row r="13" spans="1:17" x14ac:dyDescent="0.3">
      <c r="A13" s="1" t="s">
        <v>10</v>
      </c>
      <c r="B13" s="15">
        <v>127</v>
      </c>
      <c r="C13" s="15">
        <v>2.1166666666666667</v>
      </c>
      <c r="D13" s="15">
        <v>150</v>
      </c>
      <c r="E13" s="15">
        <v>2.5</v>
      </c>
      <c r="F13" s="15">
        <v>102</v>
      </c>
      <c r="G13" s="15">
        <v>1.7</v>
      </c>
      <c r="H13" s="15">
        <v>54</v>
      </c>
      <c r="I13" s="15">
        <v>0.9</v>
      </c>
      <c r="J13" s="15">
        <v>71</v>
      </c>
      <c r="K13" s="15">
        <v>1.1833333333333333</v>
      </c>
      <c r="L13" s="15">
        <v>28</v>
      </c>
      <c r="M13" s="15">
        <v>0.46666666666666667</v>
      </c>
      <c r="N13" s="15">
        <v>90</v>
      </c>
      <c r="O13" s="15">
        <v>1.5</v>
      </c>
      <c r="P13" s="15">
        <v>622</v>
      </c>
      <c r="Q13" s="3">
        <v>1.480952380952381</v>
      </c>
    </row>
    <row r="14" spans="1:17" x14ac:dyDescent="0.3">
      <c r="A14" s="1" t="s">
        <v>11</v>
      </c>
      <c r="B14" s="15">
        <v>103</v>
      </c>
      <c r="C14" s="15">
        <v>1.7166666666666666</v>
      </c>
      <c r="D14" s="15">
        <v>139</v>
      </c>
      <c r="E14" s="15">
        <v>2.3166666666666669</v>
      </c>
      <c r="F14" s="15">
        <v>174</v>
      </c>
      <c r="G14" s="15">
        <v>2.9</v>
      </c>
      <c r="H14" s="15">
        <v>182</v>
      </c>
      <c r="I14" s="15">
        <v>3.0333333333333332</v>
      </c>
      <c r="J14" s="15">
        <v>103</v>
      </c>
      <c r="K14" s="15">
        <v>1.7166666666666666</v>
      </c>
      <c r="L14" s="15">
        <v>235</v>
      </c>
      <c r="M14" s="15">
        <v>3.9166666666666665</v>
      </c>
      <c r="N14" s="15">
        <v>71</v>
      </c>
      <c r="O14" s="15">
        <v>1.1833333333333333</v>
      </c>
      <c r="P14" s="15">
        <v>1007</v>
      </c>
      <c r="Q14" s="3">
        <v>2.3976190476190475</v>
      </c>
    </row>
    <row r="15" spans="1:17" x14ac:dyDescent="0.3">
      <c r="A15" s="1" t="s">
        <v>12</v>
      </c>
      <c r="B15" s="15">
        <v>108</v>
      </c>
      <c r="C15" s="15">
        <v>1.8</v>
      </c>
      <c r="D15" s="15">
        <v>127</v>
      </c>
      <c r="E15" s="15">
        <v>2.1166666666666667</v>
      </c>
      <c r="F15" s="15">
        <v>211</v>
      </c>
      <c r="G15" s="15">
        <v>3.5166666666666666</v>
      </c>
      <c r="H15" s="15">
        <v>179</v>
      </c>
      <c r="I15" s="15">
        <v>2.9833333333333334</v>
      </c>
      <c r="J15" s="15">
        <v>127</v>
      </c>
      <c r="K15" s="15">
        <v>2.1166666666666667</v>
      </c>
      <c r="L15" s="15">
        <v>124</v>
      </c>
      <c r="M15" s="15">
        <v>2.0666666666666669</v>
      </c>
      <c r="N15" s="15">
        <v>157</v>
      </c>
      <c r="O15" s="15">
        <v>2.6166666666666667</v>
      </c>
      <c r="P15" s="15">
        <v>1033</v>
      </c>
      <c r="Q15" s="3">
        <v>2.4595238095238097</v>
      </c>
    </row>
    <row r="16" spans="1:17" x14ac:dyDescent="0.3">
      <c r="A16" s="1" t="s">
        <v>13</v>
      </c>
      <c r="B16" s="15">
        <v>51</v>
      </c>
      <c r="C16" s="15">
        <v>0.85</v>
      </c>
      <c r="D16" s="15">
        <v>105</v>
      </c>
      <c r="E16" s="15">
        <v>1.75</v>
      </c>
      <c r="F16" s="15">
        <v>164</v>
      </c>
      <c r="G16" s="15">
        <v>2.7333333333333334</v>
      </c>
      <c r="H16" s="15">
        <v>229</v>
      </c>
      <c r="I16" s="15">
        <v>3.8166666666666669</v>
      </c>
      <c r="J16" s="15">
        <v>66</v>
      </c>
      <c r="K16" s="15">
        <v>1.1000000000000001</v>
      </c>
      <c r="L16" s="15">
        <v>26</v>
      </c>
      <c r="M16" s="15">
        <v>0.43333333333333335</v>
      </c>
      <c r="N16" s="15">
        <v>28</v>
      </c>
      <c r="O16" s="15">
        <v>0.46666666666666667</v>
      </c>
      <c r="P16" s="15">
        <v>669</v>
      </c>
      <c r="Q16" s="3">
        <v>1.5928571428571427</v>
      </c>
    </row>
    <row r="17" spans="1:17" x14ac:dyDescent="0.3">
      <c r="A17" s="1" t="s">
        <v>14</v>
      </c>
      <c r="B17" s="15">
        <v>59</v>
      </c>
      <c r="C17" s="15">
        <v>0.98333333333333328</v>
      </c>
      <c r="D17" s="15">
        <v>132</v>
      </c>
      <c r="E17" s="15">
        <v>2.2000000000000002</v>
      </c>
      <c r="F17" s="15">
        <v>162</v>
      </c>
      <c r="G17" s="15">
        <v>2.7</v>
      </c>
      <c r="H17" s="15">
        <v>157</v>
      </c>
      <c r="I17" s="15">
        <v>2.6166666666666667</v>
      </c>
      <c r="J17" s="15">
        <v>49</v>
      </c>
      <c r="K17" s="15">
        <v>0.81666666666666665</v>
      </c>
      <c r="L17" s="15">
        <v>122</v>
      </c>
      <c r="M17" s="15">
        <v>2.0333333333333332</v>
      </c>
      <c r="N17" s="15">
        <v>51</v>
      </c>
      <c r="O17" s="15">
        <v>0.85</v>
      </c>
      <c r="P17" s="15">
        <v>732</v>
      </c>
      <c r="Q17" s="3">
        <v>1.7428571428571429</v>
      </c>
    </row>
    <row r="18" spans="1:17" x14ac:dyDescent="0.3">
      <c r="A18" s="1" t="s">
        <v>15</v>
      </c>
      <c r="B18" s="15">
        <v>160</v>
      </c>
      <c r="C18" s="15">
        <v>2.6666666666666665</v>
      </c>
      <c r="D18" s="15">
        <v>156</v>
      </c>
      <c r="E18" s="15">
        <v>2.6</v>
      </c>
      <c r="F18" s="15">
        <v>218</v>
      </c>
      <c r="G18" s="15">
        <v>3.6333333333333333</v>
      </c>
      <c r="H18" s="15">
        <v>293</v>
      </c>
      <c r="I18" s="15">
        <v>4.8833333333333337</v>
      </c>
      <c r="J18" s="15">
        <v>121</v>
      </c>
      <c r="K18" s="15">
        <v>2.0166666666666666</v>
      </c>
      <c r="L18" s="15">
        <v>141</v>
      </c>
      <c r="M18" s="15">
        <v>2.35</v>
      </c>
      <c r="N18" s="15">
        <v>57</v>
      </c>
      <c r="O18" s="15">
        <v>0.95</v>
      </c>
      <c r="P18" s="15">
        <v>1146</v>
      </c>
      <c r="Q18" s="3">
        <v>2.7285714285714286</v>
      </c>
    </row>
    <row r="19" spans="1:17" x14ac:dyDescent="0.3">
      <c r="A19" s="1" t="s">
        <v>16</v>
      </c>
      <c r="B19" s="15">
        <v>59</v>
      </c>
      <c r="C19" s="15">
        <v>0.98333333333333328</v>
      </c>
      <c r="D19" s="15">
        <v>132</v>
      </c>
      <c r="E19" s="15">
        <v>2.2000000000000002</v>
      </c>
      <c r="F19" s="15">
        <v>193</v>
      </c>
      <c r="G19" s="15">
        <v>3.2166666666666668</v>
      </c>
      <c r="H19" s="15">
        <v>254</v>
      </c>
      <c r="I19" s="15">
        <v>4.2333333333333334</v>
      </c>
      <c r="J19" s="15">
        <v>221</v>
      </c>
      <c r="K19" s="15">
        <v>3.6833333333333331</v>
      </c>
      <c r="L19" s="15">
        <v>165</v>
      </c>
      <c r="M19" s="15">
        <v>2.75</v>
      </c>
      <c r="N19" s="15">
        <v>100</v>
      </c>
      <c r="O19" s="15">
        <v>1.6666666666666667</v>
      </c>
      <c r="P19" s="15">
        <v>1124</v>
      </c>
      <c r="Q19" s="3">
        <v>2.6761904761904765</v>
      </c>
    </row>
    <row r="20" spans="1:17" x14ac:dyDescent="0.3">
      <c r="A20" s="1" t="s">
        <v>17</v>
      </c>
      <c r="B20" s="15">
        <v>78</v>
      </c>
      <c r="C20" s="15">
        <v>1.3</v>
      </c>
      <c r="D20" s="15">
        <v>93</v>
      </c>
      <c r="E20" s="15">
        <v>1.55</v>
      </c>
      <c r="F20" s="15">
        <v>119</v>
      </c>
      <c r="G20" s="15">
        <v>1.9833333333333334</v>
      </c>
      <c r="H20" s="15">
        <v>235</v>
      </c>
      <c r="I20" s="15">
        <v>3.9166666666666665</v>
      </c>
      <c r="J20" s="15">
        <v>153</v>
      </c>
      <c r="K20" s="15">
        <v>2.5499999999999998</v>
      </c>
      <c r="L20" s="15">
        <v>208</v>
      </c>
      <c r="M20" s="15">
        <v>3.4666666666666668</v>
      </c>
      <c r="N20" s="15">
        <v>46</v>
      </c>
      <c r="O20" s="15">
        <v>0.76666666666666672</v>
      </c>
      <c r="P20" s="15">
        <v>932</v>
      </c>
      <c r="Q20" s="3">
        <v>2.2190476190476192</v>
      </c>
    </row>
    <row r="21" spans="1:17" x14ac:dyDescent="0.3">
      <c r="A21" s="1" t="s">
        <v>18</v>
      </c>
      <c r="B21" s="15">
        <v>59</v>
      </c>
      <c r="C21" s="15">
        <v>0.98333333333333328</v>
      </c>
      <c r="D21" s="15">
        <v>75</v>
      </c>
      <c r="E21" s="15">
        <v>1.25</v>
      </c>
      <c r="F21" s="15">
        <v>98</v>
      </c>
      <c r="G21" s="15">
        <v>1.6333333333333333</v>
      </c>
      <c r="H21" s="15">
        <v>47</v>
      </c>
      <c r="I21" s="15">
        <v>0.78333333333333333</v>
      </c>
      <c r="J21" s="15">
        <v>122</v>
      </c>
      <c r="K21" s="15">
        <v>2.0333333333333332</v>
      </c>
      <c r="L21" s="15">
        <v>125</v>
      </c>
      <c r="M21" s="15">
        <v>2.0833333333333335</v>
      </c>
      <c r="N21" s="15">
        <v>36</v>
      </c>
      <c r="O21" s="15">
        <v>0.6</v>
      </c>
      <c r="P21" s="15">
        <v>562</v>
      </c>
      <c r="Q21" s="3">
        <v>1.3380952380952382</v>
      </c>
    </row>
    <row r="22" spans="1:17" x14ac:dyDescent="0.3">
      <c r="A22" s="1" t="s">
        <v>19</v>
      </c>
      <c r="B22" s="15">
        <v>82</v>
      </c>
      <c r="C22" s="15">
        <v>1.3666666666666667</v>
      </c>
      <c r="D22" s="15">
        <v>186</v>
      </c>
      <c r="E22" s="15">
        <v>3.1</v>
      </c>
      <c r="F22" s="15">
        <v>114</v>
      </c>
      <c r="G22" s="15">
        <v>1.9</v>
      </c>
      <c r="H22" s="15">
        <v>175</v>
      </c>
      <c r="I22" s="15">
        <v>2.9166666666666665</v>
      </c>
      <c r="J22" s="15">
        <v>146</v>
      </c>
      <c r="K22" s="15">
        <v>2.4333333333333331</v>
      </c>
      <c r="L22" s="15">
        <v>141</v>
      </c>
      <c r="M22" s="15">
        <v>2.35</v>
      </c>
      <c r="N22" s="15">
        <v>121</v>
      </c>
      <c r="O22" s="15">
        <v>2.0166666666666666</v>
      </c>
      <c r="P22" s="15">
        <v>965</v>
      </c>
      <c r="Q22" s="3">
        <v>2.2976190476190479</v>
      </c>
    </row>
    <row r="23" spans="1:17" x14ac:dyDescent="0.3">
      <c r="A23" s="1" t="s">
        <v>20</v>
      </c>
      <c r="B23" s="15">
        <v>161</v>
      </c>
      <c r="C23" s="15">
        <v>2.6833333333333331</v>
      </c>
      <c r="D23" s="15">
        <v>142</v>
      </c>
      <c r="E23" s="15">
        <v>2.3666666666666667</v>
      </c>
      <c r="F23" s="15">
        <v>237</v>
      </c>
      <c r="G23" s="15">
        <v>3.95</v>
      </c>
      <c r="H23" s="15">
        <v>247</v>
      </c>
      <c r="I23" s="15">
        <v>4.1166666666666663</v>
      </c>
      <c r="J23" s="15">
        <v>232</v>
      </c>
      <c r="K23" s="15">
        <v>3.8666666666666667</v>
      </c>
      <c r="L23" s="15">
        <v>138</v>
      </c>
      <c r="M23" s="15">
        <v>2.2999999999999998</v>
      </c>
      <c r="N23" s="15">
        <v>75</v>
      </c>
      <c r="O23" s="15">
        <v>1.25</v>
      </c>
      <c r="P23" s="15">
        <v>1232</v>
      </c>
      <c r="Q23" s="3">
        <v>2.9333333333333331</v>
      </c>
    </row>
    <row r="24" spans="1:17" x14ac:dyDescent="0.3">
      <c r="A24" s="1" t="s">
        <v>21</v>
      </c>
      <c r="B24" s="15">
        <v>60</v>
      </c>
      <c r="C24" s="15">
        <v>1</v>
      </c>
      <c r="D24" s="15">
        <v>188</v>
      </c>
      <c r="E24" s="15">
        <v>3.1333333333333333</v>
      </c>
      <c r="F24" s="15">
        <v>146</v>
      </c>
      <c r="G24" s="15">
        <v>2.4333333333333331</v>
      </c>
      <c r="H24" s="15">
        <v>212</v>
      </c>
      <c r="I24" s="15">
        <v>3.5333333333333332</v>
      </c>
      <c r="J24" s="15">
        <v>111</v>
      </c>
      <c r="K24" s="15">
        <v>1.85</v>
      </c>
      <c r="L24" s="15">
        <v>167</v>
      </c>
      <c r="M24" s="15">
        <v>2.7833333333333332</v>
      </c>
      <c r="N24" s="15">
        <v>97</v>
      </c>
      <c r="O24" s="15">
        <v>1.6166666666666667</v>
      </c>
      <c r="P24" s="15">
        <v>981</v>
      </c>
      <c r="Q24" s="3">
        <v>2.3357142857142859</v>
      </c>
    </row>
    <row r="25" spans="1:17" x14ac:dyDescent="0.3">
      <c r="A25" s="1" t="s">
        <v>22</v>
      </c>
      <c r="B25" s="15">
        <v>32</v>
      </c>
      <c r="C25" s="15">
        <v>0.53333333333333333</v>
      </c>
      <c r="D25" s="15">
        <v>78</v>
      </c>
      <c r="E25" s="15">
        <v>1.3</v>
      </c>
      <c r="F25" s="15">
        <v>43</v>
      </c>
      <c r="G25" s="15">
        <v>0.71666666666666667</v>
      </c>
      <c r="H25" s="15">
        <v>136</v>
      </c>
      <c r="I25" s="15">
        <v>2.2666666666666666</v>
      </c>
      <c r="J25" s="15">
        <v>39</v>
      </c>
      <c r="K25" s="15">
        <v>0.65</v>
      </c>
      <c r="L25" s="15">
        <v>185</v>
      </c>
      <c r="M25" s="15">
        <v>3.0833333333333335</v>
      </c>
      <c r="N25" s="15">
        <v>27</v>
      </c>
      <c r="O25" s="15">
        <v>0.45</v>
      </c>
      <c r="P25" s="15">
        <v>540</v>
      </c>
      <c r="Q25" s="3">
        <v>1.2857142857142856</v>
      </c>
    </row>
    <row r="26" spans="1:17" x14ac:dyDescent="0.3">
      <c r="A26" s="1" t="s">
        <v>23</v>
      </c>
      <c r="B26" s="15">
        <v>108</v>
      </c>
      <c r="C26" s="15">
        <v>1.8</v>
      </c>
      <c r="D26" s="15">
        <v>98</v>
      </c>
      <c r="E26" s="15">
        <v>1.6333333333333333</v>
      </c>
      <c r="F26" s="15">
        <v>165</v>
      </c>
      <c r="G26" s="15">
        <v>2.75</v>
      </c>
      <c r="H26" s="15">
        <v>164</v>
      </c>
      <c r="I26" s="15">
        <v>2.7333333333333334</v>
      </c>
      <c r="J26" s="15">
        <v>138</v>
      </c>
      <c r="K26" s="15">
        <v>2.2999999999999998</v>
      </c>
      <c r="L26" s="15">
        <v>163</v>
      </c>
      <c r="M26" s="15">
        <v>2.7166666666666668</v>
      </c>
      <c r="N26" s="15">
        <v>175</v>
      </c>
      <c r="O26" s="15">
        <v>2.9166666666666665</v>
      </c>
      <c r="P26" s="15">
        <v>1011</v>
      </c>
      <c r="Q26" s="3">
        <v>2.407142857142857</v>
      </c>
    </row>
    <row r="27" spans="1:17" x14ac:dyDescent="0.3">
      <c r="A27" s="1" t="s">
        <v>24</v>
      </c>
      <c r="B27" s="15">
        <v>88</v>
      </c>
      <c r="C27" s="15">
        <v>1.4666666666666666</v>
      </c>
      <c r="D27" s="15">
        <v>290</v>
      </c>
      <c r="E27" s="15">
        <v>4.833333333333333</v>
      </c>
      <c r="F27" s="15">
        <v>182</v>
      </c>
      <c r="G27" s="15">
        <v>3.0333333333333332</v>
      </c>
      <c r="H27" s="15">
        <v>212</v>
      </c>
      <c r="I27" s="15">
        <v>3.5333333333333332</v>
      </c>
      <c r="J27" s="15">
        <v>94</v>
      </c>
      <c r="K27" s="15">
        <v>1.5666666666666667</v>
      </c>
      <c r="L27" s="15">
        <v>227</v>
      </c>
      <c r="M27" s="15">
        <v>3.7833333333333332</v>
      </c>
      <c r="N27" s="15">
        <v>192</v>
      </c>
      <c r="O27" s="15">
        <v>3.2</v>
      </c>
      <c r="P27" s="15">
        <v>1285</v>
      </c>
      <c r="Q27" s="3">
        <v>3.0595238095238098</v>
      </c>
    </row>
    <row r="28" spans="1:17" x14ac:dyDescent="0.3">
      <c r="A28" s="1" t="s">
        <v>25</v>
      </c>
      <c r="B28" s="15">
        <v>82</v>
      </c>
      <c r="C28" s="15">
        <v>1.3666666666666667</v>
      </c>
      <c r="D28" s="15">
        <v>209</v>
      </c>
      <c r="E28" s="15">
        <v>3.4833333333333334</v>
      </c>
      <c r="F28" s="15">
        <v>134</v>
      </c>
      <c r="G28" s="15">
        <v>2.2333333333333334</v>
      </c>
      <c r="H28" s="15">
        <v>99</v>
      </c>
      <c r="I28" s="15">
        <v>1.65</v>
      </c>
      <c r="J28" s="15">
        <v>228</v>
      </c>
      <c r="K28" s="15">
        <v>3.8</v>
      </c>
      <c r="L28" s="15">
        <v>194</v>
      </c>
      <c r="M28" s="15">
        <v>3.2333333333333334</v>
      </c>
      <c r="N28" s="15">
        <v>77</v>
      </c>
      <c r="O28" s="15">
        <v>1.2833333333333334</v>
      </c>
      <c r="P28" s="15">
        <v>1023</v>
      </c>
      <c r="Q28" s="3">
        <v>2.4357142857142855</v>
      </c>
    </row>
    <row r="29" spans="1:17" x14ac:dyDescent="0.3">
      <c r="A29" s="1" t="s">
        <v>26</v>
      </c>
      <c r="B29" s="15">
        <v>94</v>
      </c>
      <c r="C29" s="15">
        <v>1.5666666666666667</v>
      </c>
      <c r="D29" s="15">
        <v>120</v>
      </c>
      <c r="E29" s="15">
        <v>2</v>
      </c>
      <c r="F29" s="15">
        <v>192</v>
      </c>
      <c r="G29" s="15">
        <v>3.2</v>
      </c>
      <c r="H29" s="15">
        <v>236</v>
      </c>
      <c r="I29" s="15">
        <v>3.9333333333333331</v>
      </c>
      <c r="J29" s="15">
        <v>185</v>
      </c>
      <c r="K29" s="15">
        <v>3.0833333333333335</v>
      </c>
      <c r="L29" s="15">
        <v>167</v>
      </c>
      <c r="M29" s="15">
        <v>2.7833333333333332</v>
      </c>
      <c r="N29" s="15">
        <v>27</v>
      </c>
      <c r="O29" s="15">
        <v>0.45</v>
      </c>
      <c r="P29" s="15">
        <v>1021</v>
      </c>
      <c r="Q29" s="3">
        <v>2.4309523809523812</v>
      </c>
    </row>
    <row r="30" spans="1:17" x14ac:dyDescent="0.3">
      <c r="A30" s="1" t="s">
        <v>27</v>
      </c>
      <c r="B30" s="15">
        <v>123</v>
      </c>
      <c r="C30" s="15">
        <v>2.0499999999999998</v>
      </c>
      <c r="D30" s="15">
        <v>55</v>
      </c>
      <c r="E30" s="15">
        <v>0.91666666666666663</v>
      </c>
      <c r="F30" s="15">
        <v>258</v>
      </c>
      <c r="G30" s="15">
        <v>4.3</v>
      </c>
      <c r="H30" s="15">
        <v>90</v>
      </c>
      <c r="I30" s="15">
        <v>1.5</v>
      </c>
      <c r="J30" s="15">
        <v>94</v>
      </c>
      <c r="K30" s="15">
        <v>1.5666666666666667</v>
      </c>
      <c r="L30" s="15">
        <v>98</v>
      </c>
      <c r="M30" s="15">
        <v>1.6333333333333333</v>
      </c>
      <c r="N30" s="15">
        <v>104</v>
      </c>
      <c r="O30" s="15">
        <v>1.7333333333333334</v>
      </c>
      <c r="P30" s="15">
        <v>822</v>
      </c>
      <c r="Q30" s="3">
        <v>1.9571428571428571</v>
      </c>
    </row>
    <row r="31" spans="1:17" x14ac:dyDescent="0.3">
      <c r="A31" s="1" t="s">
        <v>28</v>
      </c>
      <c r="B31" s="15">
        <v>165</v>
      </c>
      <c r="C31" s="15">
        <v>2.75</v>
      </c>
      <c r="D31" s="15">
        <v>218</v>
      </c>
      <c r="E31" s="15">
        <v>3.6333333333333333</v>
      </c>
      <c r="F31" s="15">
        <v>170</v>
      </c>
      <c r="G31" s="15">
        <v>2.8333333333333335</v>
      </c>
      <c r="H31" s="15">
        <v>149</v>
      </c>
      <c r="I31" s="15">
        <v>2.4833333333333334</v>
      </c>
      <c r="J31" s="15">
        <v>220</v>
      </c>
      <c r="K31" s="15">
        <v>3.6666666666666665</v>
      </c>
      <c r="L31" s="15">
        <v>156</v>
      </c>
      <c r="M31" s="15">
        <v>2.6</v>
      </c>
      <c r="N31" s="15">
        <v>175</v>
      </c>
      <c r="O31" s="15">
        <v>2.9166666666666665</v>
      </c>
      <c r="P31" s="15">
        <v>1253</v>
      </c>
      <c r="Q31" s="3">
        <v>2.9833333333333334</v>
      </c>
    </row>
    <row r="32" spans="1:17" x14ac:dyDescent="0.3">
      <c r="A32" s="1" t="s">
        <v>29</v>
      </c>
      <c r="B32" s="15">
        <v>28</v>
      </c>
      <c r="C32" s="15">
        <v>0.46666666666666667</v>
      </c>
      <c r="D32" s="15">
        <v>40</v>
      </c>
      <c r="E32" s="15">
        <v>0.66666666666666663</v>
      </c>
      <c r="F32" s="15">
        <v>103</v>
      </c>
      <c r="G32" s="15">
        <v>1.7166666666666666</v>
      </c>
      <c r="H32" s="15">
        <v>36</v>
      </c>
      <c r="I32" s="15">
        <v>0.6</v>
      </c>
      <c r="J32" s="15">
        <v>63</v>
      </c>
      <c r="K32" s="15">
        <v>1.05</v>
      </c>
      <c r="L32" s="15">
        <v>128</v>
      </c>
      <c r="M32" s="15">
        <v>2.1333333333333333</v>
      </c>
      <c r="N32" s="15">
        <v>53</v>
      </c>
      <c r="O32" s="15">
        <v>0.8833333333333333</v>
      </c>
      <c r="P32" s="15">
        <v>451</v>
      </c>
      <c r="Q32" s="3">
        <v>1.0738095238095238</v>
      </c>
    </row>
    <row r="33" spans="1:17" x14ac:dyDescent="0.3">
      <c r="A33" s="1" t="s">
        <v>30</v>
      </c>
      <c r="B33" s="15">
        <v>56</v>
      </c>
      <c r="C33" s="15">
        <v>0.93333333333333335</v>
      </c>
      <c r="D33" s="15">
        <v>130</v>
      </c>
      <c r="E33" s="15">
        <v>2.1666666666666665</v>
      </c>
      <c r="F33" s="15">
        <v>184</v>
      </c>
      <c r="G33" s="15">
        <v>3.0666666666666669</v>
      </c>
      <c r="H33" s="15">
        <v>249</v>
      </c>
      <c r="I33" s="15">
        <v>4.1500000000000004</v>
      </c>
      <c r="J33" s="15">
        <v>116</v>
      </c>
      <c r="K33" s="15">
        <v>1.9333333333333333</v>
      </c>
      <c r="L33" s="15">
        <v>236</v>
      </c>
      <c r="M33" s="15">
        <v>3.9333333333333331</v>
      </c>
      <c r="N33" s="15">
        <v>74</v>
      </c>
      <c r="O33" s="15">
        <v>1.2333333333333334</v>
      </c>
      <c r="P33" s="15">
        <v>1045</v>
      </c>
      <c r="Q33" s="3">
        <v>2.4880952380952381</v>
      </c>
    </row>
    <row r="34" spans="1:17" x14ac:dyDescent="0.3">
      <c r="A34" s="1" t="s">
        <v>31</v>
      </c>
      <c r="B34" s="15">
        <v>172</v>
      </c>
      <c r="C34" s="15">
        <v>2.8666666666666667</v>
      </c>
      <c r="D34" s="15">
        <v>180</v>
      </c>
      <c r="E34" s="15">
        <v>3</v>
      </c>
      <c r="F34" s="15">
        <v>234</v>
      </c>
      <c r="G34" s="15">
        <v>3.9</v>
      </c>
      <c r="H34" s="15">
        <v>270</v>
      </c>
      <c r="I34" s="15">
        <v>4.5</v>
      </c>
      <c r="J34" s="15">
        <v>45</v>
      </c>
      <c r="K34" s="15">
        <v>0.75</v>
      </c>
      <c r="L34" s="15">
        <v>149</v>
      </c>
      <c r="M34" s="15">
        <v>2.4833333333333334</v>
      </c>
      <c r="N34" s="15">
        <v>122</v>
      </c>
      <c r="O34" s="15">
        <v>2.0333333333333332</v>
      </c>
      <c r="P34" s="15">
        <v>1172</v>
      </c>
      <c r="Q34" s="3">
        <v>2.7904761904761903</v>
      </c>
    </row>
    <row r="35" spans="1:17" x14ac:dyDescent="0.3">
      <c r="A35" s="1" t="s">
        <v>32</v>
      </c>
      <c r="B35" s="15">
        <v>138</v>
      </c>
      <c r="C35" s="15">
        <v>2.2999999999999998</v>
      </c>
      <c r="D35" s="15">
        <v>252</v>
      </c>
      <c r="E35" s="15">
        <v>4.2</v>
      </c>
      <c r="F35" s="15">
        <v>330</v>
      </c>
      <c r="G35" s="15">
        <v>5.5</v>
      </c>
      <c r="H35" s="15">
        <v>243</v>
      </c>
      <c r="I35" s="15">
        <v>4.05</v>
      </c>
      <c r="J35" s="15">
        <v>178</v>
      </c>
      <c r="K35" s="15">
        <v>2.9666666666666668</v>
      </c>
      <c r="L35" s="15">
        <v>209</v>
      </c>
      <c r="M35" s="15">
        <v>3.4833333333333334</v>
      </c>
      <c r="N35" s="15">
        <v>103</v>
      </c>
      <c r="O35" s="15">
        <v>1.7166666666666666</v>
      </c>
      <c r="P35" s="15">
        <v>1453</v>
      </c>
      <c r="Q35" s="3">
        <v>3.4595238095238097</v>
      </c>
    </row>
    <row r="36" spans="1:17" x14ac:dyDescent="0.3">
      <c r="A36" s="1" t="s">
        <v>33</v>
      </c>
      <c r="B36" s="15">
        <v>131</v>
      </c>
      <c r="C36" s="15">
        <v>2.1833333333333331</v>
      </c>
      <c r="D36" s="15">
        <v>185</v>
      </c>
      <c r="E36" s="15">
        <v>3.0833333333333335</v>
      </c>
      <c r="F36" s="15">
        <v>145</v>
      </c>
      <c r="G36" s="15">
        <v>2.4166666666666665</v>
      </c>
      <c r="H36" s="15">
        <v>259</v>
      </c>
      <c r="I36" s="15">
        <v>4.3166666666666664</v>
      </c>
      <c r="J36" s="15">
        <v>266</v>
      </c>
      <c r="K36" s="15">
        <v>4.4333333333333336</v>
      </c>
      <c r="L36" s="15">
        <v>189</v>
      </c>
      <c r="M36" s="15">
        <v>3.15</v>
      </c>
      <c r="N36" s="15">
        <v>79</v>
      </c>
      <c r="O36" s="15">
        <v>1.3166666666666667</v>
      </c>
      <c r="P36" s="15">
        <v>1254</v>
      </c>
      <c r="Q36" s="3">
        <v>2.9857142857142858</v>
      </c>
    </row>
    <row r="37" spans="1:17" x14ac:dyDescent="0.3">
      <c r="A37" s="1" t="s">
        <v>34</v>
      </c>
      <c r="B37" s="15">
        <v>199</v>
      </c>
      <c r="C37" s="15">
        <v>3.3166666666666669</v>
      </c>
      <c r="D37" s="15">
        <v>188</v>
      </c>
      <c r="E37" s="15">
        <v>3.1333333333333333</v>
      </c>
      <c r="F37" s="15">
        <v>252</v>
      </c>
      <c r="G37" s="15">
        <v>4.2</v>
      </c>
      <c r="H37" s="15">
        <v>170</v>
      </c>
      <c r="I37" s="15">
        <v>2.8333333333333335</v>
      </c>
      <c r="J37" s="15">
        <v>200</v>
      </c>
      <c r="K37" s="15">
        <v>3.3333333333333335</v>
      </c>
      <c r="L37" s="15">
        <v>170</v>
      </c>
      <c r="M37" s="15">
        <v>2.8333333333333335</v>
      </c>
      <c r="N37" s="15">
        <v>130</v>
      </c>
      <c r="O37" s="15">
        <v>2.1666666666666665</v>
      </c>
      <c r="P37" s="15">
        <v>1309</v>
      </c>
      <c r="Q37" s="3">
        <v>3.1166666666666667</v>
      </c>
    </row>
    <row r="38" spans="1:17" x14ac:dyDescent="0.3">
      <c r="A38" s="1" t="s">
        <v>35</v>
      </c>
      <c r="B38" s="15">
        <v>68</v>
      </c>
      <c r="C38" s="15">
        <v>1.1333333333333333</v>
      </c>
      <c r="D38" s="15">
        <v>159</v>
      </c>
      <c r="E38" s="15">
        <v>2.65</v>
      </c>
      <c r="F38" s="15">
        <v>138</v>
      </c>
      <c r="G38" s="15">
        <v>2.2999999999999998</v>
      </c>
      <c r="H38" s="15">
        <v>192</v>
      </c>
      <c r="I38" s="15">
        <v>3.2</v>
      </c>
      <c r="J38" s="15">
        <v>201</v>
      </c>
      <c r="K38" s="15">
        <v>3.35</v>
      </c>
      <c r="L38" s="15">
        <v>104</v>
      </c>
      <c r="M38" s="15">
        <v>1.7333333333333334</v>
      </c>
      <c r="N38" s="15">
        <v>109</v>
      </c>
      <c r="O38" s="15">
        <v>1.8166666666666667</v>
      </c>
      <c r="P38" s="15">
        <v>971</v>
      </c>
      <c r="Q38" s="3">
        <v>2.3119047619047621</v>
      </c>
    </row>
    <row r="39" spans="1:17" x14ac:dyDescent="0.3">
      <c r="A39" s="1" t="s">
        <v>36</v>
      </c>
      <c r="B39" s="15">
        <v>114</v>
      </c>
      <c r="C39" s="15">
        <v>1.9</v>
      </c>
      <c r="D39" s="15">
        <v>186</v>
      </c>
      <c r="E39" s="15">
        <v>3.1</v>
      </c>
      <c r="F39" s="15">
        <v>133</v>
      </c>
      <c r="G39" s="15">
        <v>2.2166666666666668</v>
      </c>
      <c r="H39" s="15">
        <v>140</v>
      </c>
      <c r="I39" s="15">
        <v>2.3333333333333335</v>
      </c>
      <c r="J39" s="15">
        <v>215</v>
      </c>
      <c r="K39" s="15">
        <v>3.5833333333333335</v>
      </c>
      <c r="L39" s="15">
        <v>243</v>
      </c>
      <c r="M39" s="15">
        <v>4.05</v>
      </c>
      <c r="N39" s="15">
        <v>80</v>
      </c>
      <c r="O39" s="15">
        <v>1.3333333333333333</v>
      </c>
      <c r="P39" s="15">
        <v>1111</v>
      </c>
      <c r="Q39" s="3">
        <v>2.6452380952380952</v>
      </c>
    </row>
    <row r="40" spans="1:17" x14ac:dyDescent="0.3">
      <c r="A40" s="1" t="s">
        <v>37</v>
      </c>
      <c r="B40" s="15">
        <v>153</v>
      </c>
      <c r="C40" s="15">
        <v>2.5499999999999998</v>
      </c>
      <c r="D40" s="15">
        <v>132</v>
      </c>
      <c r="E40" s="15">
        <v>2.2000000000000002</v>
      </c>
      <c r="F40" s="15">
        <v>244</v>
      </c>
      <c r="G40" s="15">
        <v>4.0666666666666664</v>
      </c>
      <c r="H40" s="15">
        <v>358</v>
      </c>
      <c r="I40" s="15">
        <v>5.9666666666666668</v>
      </c>
      <c r="J40" s="15">
        <v>169</v>
      </c>
      <c r="K40" s="15">
        <v>2.8166666666666669</v>
      </c>
      <c r="L40" s="15">
        <v>138</v>
      </c>
      <c r="M40" s="15">
        <v>2.2999999999999998</v>
      </c>
      <c r="N40" s="15">
        <v>48</v>
      </c>
      <c r="O40" s="15">
        <v>0.8</v>
      </c>
      <c r="P40" s="15">
        <v>1242</v>
      </c>
      <c r="Q40" s="3">
        <v>2.9571428571428569</v>
      </c>
    </row>
    <row r="41" spans="1:17" x14ac:dyDescent="0.3">
      <c r="A41" s="1" t="s">
        <v>38</v>
      </c>
      <c r="B41" s="15">
        <v>122</v>
      </c>
      <c r="C41" s="15">
        <v>2.0333333333333332</v>
      </c>
      <c r="D41" s="15">
        <v>135</v>
      </c>
      <c r="E41" s="15">
        <v>2.25</v>
      </c>
      <c r="F41" s="15">
        <v>260</v>
      </c>
      <c r="G41" s="15">
        <v>4.333333333333333</v>
      </c>
      <c r="H41" s="15">
        <v>307</v>
      </c>
      <c r="I41" s="15">
        <v>5.1166666666666663</v>
      </c>
      <c r="J41" s="15">
        <v>166</v>
      </c>
      <c r="K41" s="15">
        <v>2.7666666666666666</v>
      </c>
      <c r="L41" s="15">
        <v>219</v>
      </c>
      <c r="M41" s="15">
        <v>3.65</v>
      </c>
      <c r="N41" s="15">
        <v>53</v>
      </c>
      <c r="O41" s="15">
        <v>0.8833333333333333</v>
      </c>
      <c r="P41" s="15">
        <v>1262</v>
      </c>
      <c r="Q41" s="3">
        <v>3.0047619047619047</v>
      </c>
    </row>
    <row r="42" spans="1:17" x14ac:dyDescent="0.3">
      <c r="A42" s="1" t="s">
        <v>39</v>
      </c>
      <c r="B42" s="15">
        <v>107</v>
      </c>
      <c r="C42" s="15">
        <v>1.7833333333333334</v>
      </c>
      <c r="D42" s="15">
        <v>170</v>
      </c>
      <c r="E42" s="15">
        <v>2.8333333333333335</v>
      </c>
      <c r="F42" s="15">
        <v>199</v>
      </c>
      <c r="G42" s="15">
        <v>3.3166666666666669</v>
      </c>
      <c r="H42" s="15">
        <v>230</v>
      </c>
      <c r="I42" s="15">
        <v>3.8333333333333335</v>
      </c>
      <c r="J42" s="15">
        <v>138</v>
      </c>
      <c r="K42" s="15">
        <v>2.2999999999999998</v>
      </c>
      <c r="L42" s="15">
        <v>139</v>
      </c>
      <c r="M42" s="15">
        <v>2.3166666666666669</v>
      </c>
      <c r="N42" s="15">
        <v>112</v>
      </c>
      <c r="O42" s="15">
        <v>1.8666666666666667</v>
      </c>
      <c r="P42" s="15">
        <v>1095</v>
      </c>
      <c r="Q42" s="3">
        <v>2.6071428571428568</v>
      </c>
    </row>
    <row r="43" spans="1:17" x14ac:dyDescent="0.3">
      <c r="A43" s="1" t="s">
        <v>40</v>
      </c>
      <c r="B43" s="15">
        <v>105</v>
      </c>
      <c r="C43" s="15">
        <v>1.75</v>
      </c>
      <c r="D43" s="15">
        <v>66</v>
      </c>
      <c r="E43" s="15">
        <v>1.1000000000000001</v>
      </c>
      <c r="F43" s="15">
        <v>139</v>
      </c>
      <c r="G43" s="15">
        <v>2.3166666666666669</v>
      </c>
      <c r="H43" s="15">
        <v>149</v>
      </c>
      <c r="I43" s="15">
        <v>2.4833333333333334</v>
      </c>
      <c r="J43" s="15">
        <v>24</v>
      </c>
      <c r="K43" s="15">
        <v>0.4</v>
      </c>
      <c r="L43" s="15">
        <v>116</v>
      </c>
      <c r="M43" s="15">
        <v>1.9333333333333333</v>
      </c>
      <c r="N43" s="15">
        <v>56</v>
      </c>
      <c r="O43" s="15">
        <v>0.93333333333333335</v>
      </c>
      <c r="P43" s="15">
        <v>655</v>
      </c>
      <c r="Q43" s="3">
        <v>1.5595238095238095</v>
      </c>
    </row>
    <row r="44" spans="1:17" x14ac:dyDescent="0.3">
      <c r="A44" s="1" t="s">
        <v>41</v>
      </c>
      <c r="B44" s="15">
        <v>68</v>
      </c>
      <c r="C44" s="15">
        <v>1.1333333333333333</v>
      </c>
      <c r="D44" s="15">
        <v>158</v>
      </c>
      <c r="E44" s="15">
        <v>2.6333333333333333</v>
      </c>
      <c r="F44" s="15">
        <v>235</v>
      </c>
      <c r="G44" s="15">
        <v>3.9166666666666665</v>
      </c>
      <c r="H44" s="15">
        <v>194</v>
      </c>
      <c r="I44" s="15">
        <v>3.2333333333333334</v>
      </c>
      <c r="J44" s="15">
        <v>182</v>
      </c>
      <c r="K44" s="15">
        <v>3.0333333333333332</v>
      </c>
      <c r="L44" s="15">
        <v>197</v>
      </c>
      <c r="M44" s="15">
        <v>3.2833333333333332</v>
      </c>
      <c r="N44" s="15">
        <v>135</v>
      </c>
      <c r="O44" s="15">
        <v>2.25</v>
      </c>
      <c r="P44" s="15">
        <v>1169</v>
      </c>
      <c r="Q44" s="3">
        <v>2.7833333333333332</v>
      </c>
    </row>
    <row r="45" spans="1:17" x14ac:dyDescent="0.3">
      <c r="A45" s="1" t="s">
        <v>42</v>
      </c>
      <c r="B45" s="15">
        <v>23</v>
      </c>
      <c r="C45" s="15">
        <v>0.38333333333333336</v>
      </c>
      <c r="D45" s="15">
        <v>89</v>
      </c>
      <c r="E45" s="15">
        <v>1.4833333333333334</v>
      </c>
      <c r="F45" s="15">
        <v>27</v>
      </c>
      <c r="G45" s="15">
        <v>0.45</v>
      </c>
      <c r="H45" s="15">
        <v>122</v>
      </c>
      <c r="I45" s="15">
        <v>2.0333333333333332</v>
      </c>
      <c r="J45" s="15">
        <v>60</v>
      </c>
      <c r="K45" s="15">
        <v>1</v>
      </c>
      <c r="L45" s="15">
        <v>103</v>
      </c>
      <c r="M45" s="15">
        <v>1.7166666666666666</v>
      </c>
      <c r="N45" s="15">
        <v>37</v>
      </c>
      <c r="O45" s="15">
        <v>0.6166666666666667</v>
      </c>
      <c r="P45" s="15">
        <v>461</v>
      </c>
      <c r="Q45" s="3">
        <v>1.0976190476190477</v>
      </c>
    </row>
    <row r="46" spans="1:17" x14ac:dyDescent="0.3">
      <c r="A46" s="1" t="s">
        <v>43</v>
      </c>
      <c r="B46" s="15">
        <v>27</v>
      </c>
      <c r="C46" s="15">
        <v>0.45</v>
      </c>
      <c r="D46" s="15">
        <v>80</v>
      </c>
      <c r="E46" s="15">
        <v>1.3333333333333333</v>
      </c>
      <c r="F46" s="15">
        <v>96</v>
      </c>
      <c r="G46" s="15">
        <v>1.6</v>
      </c>
      <c r="H46" s="15">
        <v>109</v>
      </c>
      <c r="I46" s="15">
        <v>1.8166666666666667</v>
      </c>
      <c r="J46" s="15">
        <v>91</v>
      </c>
      <c r="K46" s="15">
        <v>1.5166666666666666</v>
      </c>
      <c r="L46" s="15">
        <v>70</v>
      </c>
      <c r="M46" s="15">
        <v>1.1666666666666667</v>
      </c>
      <c r="N46" s="15">
        <v>21</v>
      </c>
      <c r="O46" s="15">
        <v>0.35</v>
      </c>
      <c r="P46" s="15">
        <v>494</v>
      </c>
      <c r="Q46" s="3">
        <v>1.1761904761904762</v>
      </c>
    </row>
    <row r="47" spans="1:17" x14ac:dyDescent="0.3">
      <c r="A47" s="1" t="s">
        <v>44</v>
      </c>
      <c r="B47" s="15">
        <v>26</v>
      </c>
      <c r="C47" s="15">
        <v>0.43333333333333335</v>
      </c>
      <c r="D47" s="15">
        <v>146</v>
      </c>
      <c r="E47" s="15">
        <v>2.4333333333333331</v>
      </c>
      <c r="F47" s="15">
        <v>50</v>
      </c>
      <c r="G47" s="15">
        <v>0.83333333333333337</v>
      </c>
      <c r="H47" s="15">
        <v>131</v>
      </c>
      <c r="I47" s="15">
        <v>2.1833333333333331</v>
      </c>
      <c r="J47" s="15">
        <v>123</v>
      </c>
      <c r="K47" s="15">
        <v>2.0499999999999998</v>
      </c>
      <c r="L47" s="15">
        <v>58</v>
      </c>
      <c r="M47" s="15">
        <v>0.96666666666666667</v>
      </c>
      <c r="N47" s="15">
        <v>44</v>
      </c>
      <c r="O47" s="15">
        <v>0.73333333333333328</v>
      </c>
      <c r="P47" s="15">
        <v>578</v>
      </c>
      <c r="Q47" s="3">
        <v>1.3761904761904762</v>
      </c>
    </row>
    <row r="48" spans="1:17" x14ac:dyDescent="0.3">
      <c r="A48" s="1" t="s">
        <v>45</v>
      </c>
      <c r="B48" s="15">
        <v>55</v>
      </c>
      <c r="C48" s="15">
        <v>0.91666666666666663</v>
      </c>
      <c r="D48" s="15">
        <v>81</v>
      </c>
      <c r="E48" s="15">
        <v>1.35</v>
      </c>
      <c r="F48" s="15">
        <v>38</v>
      </c>
      <c r="G48" s="15">
        <v>0.6333333333333333</v>
      </c>
      <c r="H48" s="15">
        <v>138</v>
      </c>
      <c r="I48" s="15">
        <v>2.2999999999999998</v>
      </c>
      <c r="J48" s="15">
        <v>36</v>
      </c>
      <c r="K48" s="15">
        <v>0.6</v>
      </c>
      <c r="L48" s="15">
        <v>144</v>
      </c>
      <c r="M48" s="15">
        <v>2.4</v>
      </c>
      <c r="N48" s="15">
        <v>60</v>
      </c>
      <c r="O48" s="15">
        <v>1</v>
      </c>
      <c r="P48" s="15">
        <v>552</v>
      </c>
      <c r="Q48" s="3">
        <v>1.3142857142857143</v>
      </c>
    </row>
    <row r="49" spans="1:17" x14ac:dyDescent="0.3">
      <c r="A49" s="1" t="s">
        <v>46</v>
      </c>
      <c r="B49" s="15">
        <v>30</v>
      </c>
      <c r="C49" s="15">
        <v>0.5</v>
      </c>
      <c r="D49" s="15">
        <v>107</v>
      </c>
      <c r="E49" s="15">
        <v>1.7833333333333334</v>
      </c>
      <c r="F49" s="15">
        <v>190</v>
      </c>
      <c r="G49" s="15">
        <v>3.1666666666666665</v>
      </c>
      <c r="H49" s="15">
        <v>187</v>
      </c>
      <c r="I49" s="15">
        <v>3.1166666666666667</v>
      </c>
      <c r="J49" s="15">
        <v>161</v>
      </c>
      <c r="K49" s="15">
        <v>2.6833333333333331</v>
      </c>
      <c r="L49" s="15">
        <v>243</v>
      </c>
      <c r="M49" s="15">
        <v>4.05</v>
      </c>
      <c r="N49" s="15">
        <v>118</v>
      </c>
      <c r="O49" s="15">
        <v>1.9666666666666666</v>
      </c>
      <c r="P49" s="15">
        <v>1036</v>
      </c>
      <c r="Q49" s="3">
        <v>2.4666666666666668</v>
      </c>
    </row>
    <row r="50" spans="1:17" x14ac:dyDescent="0.3">
      <c r="A50" s="1" t="s">
        <v>47</v>
      </c>
      <c r="B50" s="15">
        <v>87</v>
      </c>
      <c r="C50" s="15">
        <v>1.45</v>
      </c>
      <c r="D50" s="15">
        <v>277</v>
      </c>
      <c r="E50" s="15">
        <v>4.6166666666666663</v>
      </c>
      <c r="F50" s="15">
        <v>226</v>
      </c>
      <c r="G50" s="15">
        <v>3.7666666666666666</v>
      </c>
      <c r="H50" s="15">
        <v>269</v>
      </c>
      <c r="I50" s="15">
        <v>4.4833333333333334</v>
      </c>
      <c r="J50" s="15">
        <v>244</v>
      </c>
      <c r="K50" s="15">
        <v>4.0666666666666664</v>
      </c>
      <c r="L50" s="15">
        <v>239</v>
      </c>
      <c r="M50" s="15">
        <v>3.9833333333333334</v>
      </c>
      <c r="N50" s="15">
        <v>166</v>
      </c>
      <c r="O50" s="15">
        <v>2.7666666666666666</v>
      </c>
      <c r="P50" s="15">
        <v>1508</v>
      </c>
      <c r="Q50" s="3">
        <v>3.5904761904761902</v>
      </c>
    </row>
    <row r="51" spans="1:17" x14ac:dyDescent="0.3">
      <c r="A51" s="1" t="s">
        <v>48</v>
      </c>
      <c r="B51" s="15">
        <v>96</v>
      </c>
      <c r="C51" s="15">
        <v>1.6</v>
      </c>
      <c r="D51" s="15">
        <v>102</v>
      </c>
      <c r="E51" s="15">
        <v>1.7</v>
      </c>
      <c r="F51" s="15">
        <v>220</v>
      </c>
      <c r="G51" s="15">
        <v>3.6666666666666665</v>
      </c>
      <c r="H51" s="15">
        <v>237</v>
      </c>
      <c r="I51" s="15">
        <v>3.95</v>
      </c>
      <c r="J51" s="15">
        <v>93</v>
      </c>
      <c r="K51" s="15">
        <v>1.55</v>
      </c>
      <c r="L51" s="15">
        <v>162</v>
      </c>
      <c r="M51" s="15">
        <v>2.7</v>
      </c>
      <c r="N51" s="15">
        <v>105</v>
      </c>
      <c r="O51" s="15">
        <v>1.75</v>
      </c>
      <c r="P51" s="15">
        <v>1015</v>
      </c>
      <c r="Q51" s="3">
        <v>2.4166666666666665</v>
      </c>
    </row>
    <row r="52" spans="1:17" x14ac:dyDescent="0.3">
      <c r="A52" s="1" t="s">
        <v>49</v>
      </c>
      <c r="B52" s="15">
        <v>94</v>
      </c>
      <c r="C52" s="15">
        <v>1.5666666666666667</v>
      </c>
      <c r="D52" s="15">
        <v>179</v>
      </c>
      <c r="E52" s="15">
        <v>2.9833333333333334</v>
      </c>
      <c r="F52" s="15">
        <v>152</v>
      </c>
      <c r="G52" s="15">
        <v>2.5333333333333332</v>
      </c>
      <c r="H52" s="15">
        <v>249</v>
      </c>
      <c r="I52" s="15">
        <v>4.1500000000000004</v>
      </c>
      <c r="J52" s="15">
        <v>89</v>
      </c>
      <c r="K52" s="15">
        <v>1.4833333333333334</v>
      </c>
      <c r="L52" s="15">
        <v>169</v>
      </c>
      <c r="M52" s="15">
        <v>2.8166666666666669</v>
      </c>
      <c r="N52" s="15">
        <v>81</v>
      </c>
      <c r="O52" s="15">
        <v>1.35</v>
      </c>
      <c r="P52" s="15">
        <v>1013</v>
      </c>
      <c r="Q52" s="3">
        <v>2.4119047619047622</v>
      </c>
    </row>
    <row r="53" spans="1:17" x14ac:dyDescent="0.3">
      <c r="A53" s="1" t="s">
        <v>50</v>
      </c>
      <c r="B53" s="15">
        <v>49</v>
      </c>
      <c r="C53" s="15">
        <v>0.81666666666666665</v>
      </c>
      <c r="D53" s="15">
        <v>87</v>
      </c>
      <c r="E53" s="15">
        <v>1.45</v>
      </c>
      <c r="F53" s="15">
        <v>73</v>
      </c>
      <c r="G53" s="15">
        <v>1.2166666666666666</v>
      </c>
      <c r="H53" s="15">
        <v>145</v>
      </c>
      <c r="I53" s="15">
        <v>2.4166666666666665</v>
      </c>
      <c r="J53" s="15">
        <v>62</v>
      </c>
      <c r="K53" s="15">
        <v>1.0333333333333334</v>
      </c>
      <c r="L53" s="15">
        <v>84</v>
      </c>
      <c r="M53" s="15">
        <v>1.4</v>
      </c>
      <c r="N53" s="15">
        <v>74</v>
      </c>
      <c r="O53" s="15">
        <v>1.2333333333333334</v>
      </c>
      <c r="P53" s="15">
        <v>574</v>
      </c>
      <c r="Q53" s="3">
        <v>1.3666666666666667</v>
      </c>
    </row>
    <row r="54" spans="1:17" x14ac:dyDescent="0.3">
      <c r="A54" s="1" t="s">
        <v>51</v>
      </c>
      <c r="B54" s="15">
        <v>62</v>
      </c>
      <c r="C54" s="15">
        <v>1.0333333333333334</v>
      </c>
      <c r="D54" s="15">
        <v>99</v>
      </c>
      <c r="E54" s="15">
        <v>1.65</v>
      </c>
      <c r="F54" s="15">
        <v>96</v>
      </c>
      <c r="G54" s="15">
        <v>1.6</v>
      </c>
      <c r="H54" s="15">
        <v>190</v>
      </c>
      <c r="I54" s="15">
        <v>3.1666666666666665</v>
      </c>
      <c r="J54" s="15">
        <v>153</v>
      </c>
      <c r="K54" s="15">
        <v>2.5499999999999998</v>
      </c>
      <c r="L54" s="15">
        <v>249</v>
      </c>
      <c r="M54" s="15">
        <v>4.1500000000000004</v>
      </c>
      <c r="N54" s="15">
        <v>110</v>
      </c>
      <c r="O54" s="15">
        <v>1.8333333333333333</v>
      </c>
      <c r="P54" s="15">
        <v>959</v>
      </c>
      <c r="Q54" s="3">
        <v>2.2833333333333332</v>
      </c>
    </row>
    <row r="55" spans="1:17" x14ac:dyDescent="0.3">
      <c r="A55" s="1" t="s">
        <v>52</v>
      </c>
      <c r="B55" s="15">
        <v>30</v>
      </c>
      <c r="C55" s="15">
        <v>0.5</v>
      </c>
      <c r="D55" s="15">
        <v>56</v>
      </c>
      <c r="E55" s="15">
        <v>0.93333333333333335</v>
      </c>
      <c r="F55" s="15">
        <v>116</v>
      </c>
      <c r="G55" s="15">
        <v>1.9333333333333333</v>
      </c>
      <c r="H55" s="15">
        <v>200</v>
      </c>
      <c r="I55" s="15">
        <v>3.3333333333333335</v>
      </c>
      <c r="J55" s="15">
        <v>68</v>
      </c>
      <c r="K55" s="15">
        <v>1.1333333333333333</v>
      </c>
      <c r="L55" s="15">
        <v>111</v>
      </c>
      <c r="M55" s="15">
        <v>1.85</v>
      </c>
      <c r="N55" s="15">
        <v>20</v>
      </c>
      <c r="O55" s="15">
        <v>0.33333333333333331</v>
      </c>
      <c r="P55" s="15">
        <v>601</v>
      </c>
      <c r="Q55" s="3">
        <v>1.430952380952381</v>
      </c>
    </row>
    <row r="56" spans="1:17" x14ac:dyDescent="0.3">
      <c r="A56" s="1" t="s">
        <v>53</v>
      </c>
      <c r="B56" s="15">
        <v>47</v>
      </c>
      <c r="C56" s="15">
        <v>0.78333333333333333</v>
      </c>
      <c r="D56" s="15">
        <v>125</v>
      </c>
      <c r="E56" s="15">
        <v>2.0833333333333335</v>
      </c>
      <c r="F56" s="15">
        <v>46</v>
      </c>
      <c r="G56" s="15">
        <v>0.76666666666666672</v>
      </c>
      <c r="H56" s="15">
        <v>78</v>
      </c>
      <c r="I56" s="15">
        <v>1.3</v>
      </c>
      <c r="J56" s="15">
        <v>98</v>
      </c>
      <c r="K56" s="15">
        <v>1.6333333333333333</v>
      </c>
      <c r="L56" s="15">
        <v>64</v>
      </c>
      <c r="M56" s="15">
        <v>1.0666666666666667</v>
      </c>
      <c r="N56" s="15">
        <v>50</v>
      </c>
      <c r="O56" s="15">
        <v>0.83333333333333337</v>
      </c>
      <c r="P56" s="15">
        <v>508</v>
      </c>
      <c r="Q56" s="3">
        <v>1.2095238095238094</v>
      </c>
    </row>
    <row r="57" spans="1:17" x14ac:dyDescent="0.3">
      <c r="A57" s="1" t="s">
        <v>54</v>
      </c>
      <c r="B57" s="15">
        <v>4436</v>
      </c>
      <c r="C57" s="15">
        <v>73.933333333333337</v>
      </c>
      <c r="D57" s="15">
        <v>7256</v>
      </c>
      <c r="E57" s="15">
        <v>120.93333333333334</v>
      </c>
      <c r="F57" s="15">
        <v>8833</v>
      </c>
      <c r="G57" s="15">
        <v>147.21666666666667</v>
      </c>
      <c r="H57" s="15">
        <v>10209</v>
      </c>
      <c r="I57" s="15">
        <v>170.15</v>
      </c>
      <c r="J57" s="15">
        <v>6702</v>
      </c>
      <c r="K57" s="15">
        <v>111.7</v>
      </c>
      <c r="L57" s="15">
        <v>8213</v>
      </c>
      <c r="M57" s="15">
        <v>136.88333333333333</v>
      </c>
      <c r="N57" s="15">
        <v>4596</v>
      </c>
      <c r="O57" s="15">
        <v>76.599999999999994</v>
      </c>
      <c r="P57" s="15">
        <v>50245</v>
      </c>
      <c r="Q57" s="3">
        <v>119.63095238095238</v>
      </c>
    </row>
  </sheetData>
  <pageMargins left="0.7" right="0.7" top="0.75" bottom="0.75" header="0.3" footer="0.3"/>
  <pageSetup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72DC8-1BE5-4B11-B843-1452C0D123B4}">
  <dimension ref="A3:H57"/>
  <sheetViews>
    <sheetView workbookViewId="0">
      <selection activeCell="A3" sqref="A3"/>
    </sheetView>
  </sheetViews>
  <sheetFormatPr defaultRowHeight="14.4" x14ac:dyDescent="0.3"/>
  <cols>
    <col min="1" max="1" width="13.44140625" bestFit="1" customWidth="1"/>
    <col min="2" max="2" width="9.21875" bestFit="1" customWidth="1"/>
    <col min="3" max="3" width="11.109375" bestFit="1" customWidth="1"/>
    <col min="4" max="4" width="11.21875" bestFit="1" customWidth="1"/>
    <col min="5" max="5" width="25.6640625" bestFit="1" customWidth="1"/>
    <col min="6" max="6" width="9.5546875" bestFit="1" customWidth="1"/>
    <col min="8" max="8" width="17.21875" bestFit="1" customWidth="1"/>
  </cols>
  <sheetData>
    <row r="3" spans="1:8" x14ac:dyDescent="0.3">
      <c r="A3" s="11" t="s">
        <v>938</v>
      </c>
      <c r="B3" s="1" t="s">
        <v>934</v>
      </c>
      <c r="C3" s="1" t="s">
        <v>935</v>
      </c>
      <c r="D3" s="1" t="s">
        <v>936</v>
      </c>
      <c r="E3" s="1" t="s">
        <v>937</v>
      </c>
      <c r="F3" s="12" t="s">
        <v>939</v>
      </c>
      <c r="G3" s="12" t="s">
        <v>940</v>
      </c>
      <c r="H3" s="12" t="s">
        <v>941</v>
      </c>
    </row>
    <row r="4" spans="1:8" x14ac:dyDescent="0.3">
      <c r="A4" s="1" t="s">
        <v>0</v>
      </c>
      <c r="B4" s="15">
        <v>47</v>
      </c>
      <c r="C4" s="15">
        <v>47</v>
      </c>
      <c r="D4" s="16">
        <v>772</v>
      </c>
      <c r="E4" s="3">
        <v>1.3428571428571427</v>
      </c>
      <c r="F4" s="1" t="str" cm="1">
        <f t="array" ref="F4">_xlfn.IFS( OR(E4&gt;5, B4&gt;100, C4&gt;120, D4&gt;1500), "Green", OR(E4&gt;4, B4&gt;80, C4&gt;100, D4&gt;1000), "Yellow", TRUE, "Red")</f>
        <v>Red</v>
      </c>
      <c r="G4" s="1" cm="1">
        <f t="array" ref="G4">_xlfn.IFS( F4="Green", D4*0.1, F4="Yellow", D4*0.05, TRUE, 0)</f>
        <v>0</v>
      </c>
      <c r="H4" s="13" cm="1">
        <f t="array" ref="H4">_xlfn.IFS( F4="Green", B4, F4="Yellow", B4*1.1, TRUE, B4*1.3)</f>
        <v>61.1</v>
      </c>
    </row>
    <row r="5" spans="1:8" x14ac:dyDescent="0.3">
      <c r="A5" s="1" t="s">
        <v>1</v>
      </c>
      <c r="B5" s="15">
        <v>108</v>
      </c>
      <c r="C5" s="15">
        <v>108</v>
      </c>
      <c r="D5" s="16">
        <v>1510</v>
      </c>
      <c r="E5" s="3">
        <v>2.4785714285714286</v>
      </c>
      <c r="F5" s="1" t="str" cm="1">
        <f t="array" ref="F5">_xlfn.IFS( OR(E5&gt;5, B5&gt;100, C5&gt;120, D5&gt;1500), "Green", OR(E5&gt;4, B5&gt;80, C5&gt;100, D5&gt;1000), "Yellow", TRUE, "Red")</f>
        <v>Green</v>
      </c>
      <c r="G5" s="1" cm="1">
        <f t="array" ref="G5">_xlfn.IFS( F5="Green", D5*0.1, F5="Yellow", D5*0.05, TRUE, 0)</f>
        <v>151</v>
      </c>
      <c r="H5" s="13" cm="1">
        <f t="array" ref="H5">_xlfn.IFS( F5="Green", B5, F5="Yellow", B5*1.1, TRUE, B5*1.3)</f>
        <v>108</v>
      </c>
    </row>
    <row r="6" spans="1:8" x14ac:dyDescent="0.3">
      <c r="A6" s="1" t="s">
        <v>2</v>
      </c>
      <c r="B6" s="15">
        <v>63</v>
      </c>
      <c r="C6" s="15">
        <v>63</v>
      </c>
      <c r="D6" s="16">
        <v>1281</v>
      </c>
      <c r="E6" s="3">
        <v>1.8357142857142856</v>
      </c>
      <c r="F6" s="1" t="str" cm="1">
        <f t="array" ref="F6">_xlfn.IFS( OR(E6&gt;5, B6&gt;100, C6&gt;120, D6&gt;1500), "Green", OR(E6&gt;4, B6&gt;80, C6&gt;100, D6&gt;1000), "Yellow", TRUE, "Red")</f>
        <v>Yellow</v>
      </c>
      <c r="G6" s="1" cm="1">
        <f t="array" ref="G6">_xlfn.IFS( F6="Green", D6*0.1, F6="Yellow", D6*0.05, TRUE, 0)</f>
        <v>64.05</v>
      </c>
      <c r="H6" s="13" cm="1">
        <f t="array" ref="H6">_xlfn.IFS( F6="Green", B6, F6="Yellow", B6*1.1, TRUE, B6*1.3)</f>
        <v>69.300000000000011</v>
      </c>
    </row>
    <row r="7" spans="1:8" x14ac:dyDescent="0.3">
      <c r="A7" s="1" t="s">
        <v>3</v>
      </c>
      <c r="B7" s="15">
        <v>80</v>
      </c>
      <c r="C7" s="15">
        <v>80</v>
      </c>
      <c r="D7" s="16">
        <v>1318</v>
      </c>
      <c r="E7" s="3">
        <v>2.15</v>
      </c>
      <c r="F7" s="1" t="str" cm="1">
        <f t="array" ref="F7">_xlfn.IFS( OR(E7&gt;5, B7&gt;100, C7&gt;120, D7&gt;1500), "Green", OR(E7&gt;4, B7&gt;80, C7&gt;100, D7&gt;1000), "Yellow", TRUE, "Red")</f>
        <v>Yellow</v>
      </c>
      <c r="G7" s="1" cm="1">
        <f t="array" ref="G7">_xlfn.IFS( F7="Green", D7*0.1, F7="Yellow", D7*0.05, TRUE, 0)</f>
        <v>65.900000000000006</v>
      </c>
      <c r="H7" s="13" cm="1">
        <f t="array" ref="H7">_xlfn.IFS( F7="Green", B7, F7="Yellow", B7*1.1, TRUE, B7*1.3)</f>
        <v>88</v>
      </c>
    </row>
    <row r="8" spans="1:8" x14ac:dyDescent="0.3">
      <c r="A8" s="1" t="s">
        <v>4</v>
      </c>
      <c r="B8" s="15">
        <v>94</v>
      </c>
      <c r="C8" s="15">
        <v>94</v>
      </c>
      <c r="D8" s="16">
        <v>1316</v>
      </c>
      <c r="E8" s="3">
        <v>2.1357142857142857</v>
      </c>
      <c r="F8" s="1" t="str" cm="1">
        <f t="array" ref="F8">_xlfn.IFS( OR(E8&gt;5, B8&gt;100, C8&gt;120, D8&gt;1500), "Green", OR(E8&gt;4, B8&gt;80, C8&gt;100, D8&gt;1000), "Yellow", TRUE, "Red")</f>
        <v>Yellow</v>
      </c>
      <c r="G8" s="1" cm="1">
        <f t="array" ref="G8">_xlfn.IFS( F8="Green", D8*0.1, F8="Yellow", D8*0.05, TRUE, 0)</f>
        <v>65.8</v>
      </c>
      <c r="H8" s="13" cm="1">
        <f t="array" ref="H8">_xlfn.IFS( F8="Green", B8, F8="Yellow", B8*1.1, TRUE, B8*1.3)</f>
        <v>103.4</v>
      </c>
    </row>
    <row r="9" spans="1:8" x14ac:dyDescent="0.3">
      <c r="A9" s="1" t="s">
        <v>5</v>
      </c>
      <c r="B9" s="15">
        <v>66</v>
      </c>
      <c r="C9" s="15">
        <v>66</v>
      </c>
      <c r="D9" s="16">
        <v>1372</v>
      </c>
      <c r="E9" s="3">
        <v>1.8738095238095238</v>
      </c>
      <c r="F9" s="1" t="str" cm="1">
        <f t="array" ref="F9">_xlfn.IFS( OR(E9&gt;5, B9&gt;100, C9&gt;120, D9&gt;1500), "Green", OR(E9&gt;4, B9&gt;80, C9&gt;100, D9&gt;1000), "Yellow", TRUE, "Red")</f>
        <v>Yellow</v>
      </c>
      <c r="G9" s="1" cm="1">
        <f t="array" ref="G9">_xlfn.IFS( F9="Green", D9*0.1, F9="Yellow", D9*0.05, TRUE, 0)</f>
        <v>68.600000000000009</v>
      </c>
      <c r="H9" s="13" cm="1">
        <f t="array" ref="H9">_xlfn.IFS( F9="Green", B9, F9="Yellow", B9*1.1, TRUE, B9*1.3)</f>
        <v>72.600000000000009</v>
      </c>
    </row>
    <row r="10" spans="1:8" x14ac:dyDescent="0.3">
      <c r="A10" s="1" t="s">
        <v>6</v>
      </c>
      <c r="B10" s="15">
        <v>103</v>
      </c>
      <c r="C10" s="15">
        <v>103</v>
      </c>
      <c r="D10" s="16">
        <v>1919</v>
      </c>
      <c r="E10" s="3">
        <v>2.7357142857142858</v>
      </c>
      <c r="F10" s="1" t="str" cm="1">
        <f t="array" ref="F10">_xlfn.IFS( OR(E10&gt;5, B10&gt;100, C10&gt;120, D10&gt;1500), "Green", OR(E10&gt;4, B10&gt;80, C10&gt;100, D10&gt;1000), "Yellow", TRUE, "Red")</f>
        <v>Green</v>
      </c>
      <c r="G10" s="1" cm="1">
        <f t="array" ref="G10">_xlfn.IFS( F10="Green", D10*0.1, F10="Yellow", D10*0.05, TRUE, 0)</f>
        <v>191.9</v>
      </c>
      <c r="H10" s="13" cm="1">
        <f t="array" ref="H10">_xlfn.IFS( F10="Green", B10, F10="Yellow", B10*1.1, TRUE, B10*1.3)</f>
        <v>103</v>
      </c>
    </row>
    <row r="11" spans="1:8" x14ac:dyDescent="0.3">
      <c r="A11" s="1" t="s">
        <v>7</v>
      </c>
      <c r="B11" s="15">
        <v>90</v>
      </c>
      <c r="C11" s="15">
        <v>90</v>
      </c>
      <c r="D11" s="16">
        <v>1579</v>
      </c>
      <c r="E11" s="3">
        <v>2.3404761904761902</v>
      </c>
      <c r="F11" s="1" t="str" cm="1">
        <f t="array" ref="F11">_xlfn.IFS( OR(E11&gt;5, B11&gt;100, C11&gt;120, D11&gt;1500), "Green", OR(E11&gt;4, B11&gt;80, C11&gt;100, D11&gt;1000), "Yellow", TRUE, "Red")</f>
        <v>Green</v>
      </c>
      <c r="G11" s="1" cm="1">
        <f t="array" ref="G11">_xlfn.IFS( F11="Green", D11*0.1, F11="Yellow", D11*0.05, TRUE, 0)</f>
        <v>157.9</v>
      </c>
      <c r="H11" s="13" cm="1">
        <f t="array" ref="H11">_xlfn.IFS( F11="Green", B11, F11="Yellow", B11*1.1, TRUE, B11*1.3)</f>
        <v>90</v>
      </c>
    </row>
    <row r="12" spans="1:8" x14ac:dyDescent="0.3">
      <c r="A12" s="1" t="s">
        <v>8</v>
      </c>
      <c r="B12" s="15">
        <v>51</v>
      </c>
      <c r="C12" s="15">
        <v>51</v>
      </c>
      <c r="D12" s="16">
        <v>726</v>
      </c>
      <c r="E12" s="3">
        <v>1.4333333333333333</v>
      </c>
      <c r="F12" s="1" t="str" cm="1">
        <f t="array" ref="F12">_xlfn.IFS( OR(E12&gt;5, B12&gt;100, C12&gt;120, D12&gt;1500), "Green", OR(E12&gt;4, B12&gt;80, C12&gt;100, D12&gt;1000), "Yellow", TRUE, "Red")</f>
        <v>Red</v>
      </c>
      <c r="G12" s="1" cm="1">
        <f t="array" ref="G12">_xlfn.IFS( F12="Green", D12*0.1, F12="Yellow", D12*0.05, TRUE, 0)</f>
        <v>0</v>
      </c>
      <c r="H12" s="13" cm="1">
        <f t="array" ref="H12">_xlfn.IFS( F12="Green", B12, F12="Yellow", B12*1.1, TRUE, B12*1.3)</f>
        <v>66.3</v>
      </c>
    </row>
    <row r="13" spans="1:8" x14ac:dyDescent="0.3">
      <c r="A13" s="1" t="s">
        <v>9</v>
      </c>
      <c r="B13" s="15">
        <v>102</v>
      </c>
      <c r="C13" s="15">
        <v>102</v>
      </c>
      <c r="D13" s="16">
        <v>1756</v>
      </c>
      <c r="E13" s="3">
        <v>2.6190476190476191</v>
      </c>
      <c r="F13" s="1" t="str" cm="1">
        <f t="array" ref="F13">_xlfn.IFS( OR(E13&gt;5, B13&gt;100, C13&gt;120, D13&gt;1500), "Green", OR(E13&gt;4, B13&gt;80, C13&gt;100, D13&gt;1000), "Yellow", TRUE, "Red")</f>
        <v>Green</v>
      </c>
      <c r="G13" s="1" cm="1">
        <f t="array" ref="G13">_xlfn.IFS( F13="Green", D13*0.1, F13="Yellow", D13*0.05, TRUE, 0)</f>
        <v>175.60000000000002</v>
      </c>
      <c r="H13" s="13" cm="1">
        <f t="array" ref="H13">_xlfn.IFS( F13="Green", B13, F13="Yellow", B13*1.1, TRUE, B13*1.3)</f>
        <v>102</v>
      </c>
    </row>
    <row r="14" spans="1:8" x14ac:dyDescent="0.3">
      <c r="A14" s="1" t="s">
        <v>10</v>
      </c>
      <c r="B14" s="15">
        <v>51</v>
      </c>
      <c r="C14" s="15">
        <v>51</v>
      </c>
      <c r="D14" s="16">
        <v>986</v>
      </c>
      <c r="E14" s="3">
        <v>1.480952380952381</v>
      </c>
      <c r="F14" s="1" t="str" cm="1">
        <f t="array" ref="F14">_xlfn.IFS( OR(E14&gt;5, B14&gt;100, C14&gt;120, D14&gt;1500), "Green", OR(E14&gt;4, B14&gt;80, C14&gt;100, D14&gt;1000), "Yellow", TRUE, "Red")</f>
        <v>Red</v>
      </c>
      <c r="G14" s="1" cm="1">
        <f t="array" ref="G14">_xlfn.IFS( F14="Green", D14*0.1, F14="Yellow", D14*0.05, TRUE, 0)</f>
        <v>0</v>
      </c>
      <c r="H14" s="13" cm="1">
        <f t="array" ref="H14">_xlfn.IFS( F14="Green", B14, F14="Yellow", B14*1.1, TRUE, B14*1.3)</f>
        <v>66.3</v>
      </c>
    </row>
    <row r="15" spans="1:8" x14ac:dyDescent="0.3">
      <c r="A15" s="1" t="s">
        <v>11</v>
      </c>
      <c r="B15" s="15">
        <v>112</v>
      </c>
      <c r="C15" s="15">
        <v>112</v>
      </c>
      <c r="D15" s="16">
        <v>1507</v>
      </c>
      <c r="E15" s="3">
        <v>2.3976190476190475</v>
      </c>
      <c r="F15" s="1" t="str" cm="1">
        <f t="array" ref="F15">_xlfn.IFS( OR(E15&gt;5, B15&gt;100, C15&gt;120, D15&gt;1500), "Green", OR(E15&gt;4, B15&gt;80, C15&gt;100, D15&gt;1000), "Yellow", TRUE, "Red")</f>
        <v>Green</v>
      </c>
      <c r="G15" s="1" cm="1">
        <f t="array" ref="G15">_xlfn.IFS( F15="Green", D15*0.1, F15="Yellow", D15*0.05, TRUE, 0)</f>
        <v>150.70000000000002</v>
      </c>
      <c r="H15" s="13" cm="1">
        <f t="array" ref="H15">_xlfn.IFS( F15="Green", B15, F15="Yellow", B15*1.1, TRUE, B15*1.3)</f>
        <v>112</v>
      </c>
    </row>
    <row r="16" spans="1:8" x14ac:dyDescent="0.3">
      <c r="A16" s="1" t="s">
        <v>12</v>
      </c>
      <c r="B16" s="15">
        <v>104</v>
      </c>
      <c r="C16" s="15">
        <v>104</v>
      </c>
      <c r="D16" s="16">
        <v>2218</v>
      </c>
      <c r="E16" s="3">
        <v>2.4595238095238097</v>
      </c>
      <c r="F16" s="1" t="str" cm="1">
        <f t="array" ref="F16">_xlfn.IFS( OR(E16&gt;5, B16&gt;100, C16&gt;120, D16&gt;1500), "Green", OR(E16&gt;4, B16&gt;80, C16&gt;100, D16&gt;1000), "Yellow", TRUE, "Red")</f>
        <v>Green</v>
      </c>
      <c r="G16" s="1" cm="1">
        <f t="array" ref="G16">_xlfn.IFS( F16="Green", D16*0.1, F16="Yellow", D16*0.05, TRUE, 0)</f>
        <v>221.8</v>
      </c>
      <c r="H16" s="13" cm="1">
        <f t="array" ref="H16">_xlfn.IFS( F16="Green", B16, F16="Yellow", B16*1.1, TRUE, B16*1.3)</f>
        <v>104</v>
      </c>
    </row>
    <row r="17" spans="1:8" x14ac:dyDescent="0.3">
      <c r="A17" s="1" t="s">
        <v>13</v>
      </c>
      <c r="B17" s="15">
        <v>51</v>
      </c>
      <c r="C17" s="15">
        <v>51</v>
      </c>
      <c r="D17" s="16">
        <v>1136</v>
      </c>
      <c r="E17" s="3">
        <v>1.5928571428571427</v>
      </c>
      <c r="F17" s="1" t="str" cm="1">
        <f t="array" ref="F17">_xlfn.IFS( OR(E17&gt;5, B17&gt;100, C17&gt;120, D17&gt;1500), "Green", OR(E17&gt;4, B17&gt;80, C17&gt;100, D17&gt;1000), "Yellow", TRUE, "Red")</f>
        <v>Yellow</v>
      </c>
      <c r="G17" s="1" cm="1">
        <f t="array" ref="G17">_xlfn.IFS( F17="Green", D17*0.1, F17="Yellow", D17*0.05, TRUE, 0)</f>
        <v>56.800000000000004</v>
      </c>
      <c r="H17" s="13" cm="1">
        <f t="array" ref="H17">_xlfn.IFS( F17="Green", B17, F17="Yellow", B17*1.1, TRUE, B17*1.3)</f>
        <v>56.1</v>
      </c>
    </row>
    <row r="18" spans="1:8" x14ac:dyDescent="0.3">
      <c r="A18" s="1" t="s">
        <v>14</v>
      </c>
      <c r="B18" s="15">
        <v>63</v>
      </c>
      <c r="C18" s="15">
        <v>63</v>
      </c>
      <c r="D18" s="16">
        <v>1035</v>
      </c>
      <c r="E18" s="3">
        <v>1.7428571428571429</v>
      </c>
      <c r="F18" s="1" t="str" cm="1">
        <f t="array" ref="F18">_xlfn.IFS( OR(E18&gt;5, B18&gt;100, C18&gt;120, D18&gt;1500), "Green", OR(E18&gt;4, B18&gt;80, C18&gt;100, D18&gt;1000), "Yellow", TRUE, "Red")</f>
        <v>Yellow</v>
      </c>
      <c r="G18" s="1" cm="1">
        <f t="array" ref="G18">_xlfn.IFS( F18="Green", D18*0.1, F18="Yellow", D18*0.05, TRUE, 0)</f>
        <v>51.75</v>
      </c>
      <c r="H18" s="13" cm="1">
        <f t="array" ref="H18">_xlfn.IFS( F18="Green", B18, F18="Yellow", B18*1.1, TRUE, B18*1.3)</f>
        <v>69.300000000000011</v>
      </c>
    </row>
    <row r="19" spans="1:8" x14ac:dyDescent="0.3">
      <c r="A19" s="1" t="s">
        <v>15</v>
      </c>
      <c r="B19" s="15">
        <v>105</v>
      </c>
      <c r="C19" s="15">
        <v>105</v>
      </c>
      <c r="D19" s="16">
        <v>1793</v>
      </c>
      <c r="E19" s="3">
        <v>2.7285714285714286</v>
      </c>
      <c r="F19" s="1" t="str" cm="1">
        <f t="array" ref="F19">_xlfn.IFS( OR(E19&gt;5, B19&gt;100, C19&gt;120, D19&gt;1500), "Green", OR(E19&gt;4, B19&gt;80, C19&gt;100, D19&gt;1000), "Yellow", TRUE, "Red")</f>
        <v>Green</v>
      </c>
      <c r="G19" s="1" cm="1">
        <f t="array" ref="G19">_xlfn.IFS( F19="Green", D19*0.1, F19="Yellow", D19*0.05, TRUE, 0)</f>
        <v>179.3</v>
      </c>
      <c r="H19" s="13" cm="1">
        <f t="array" ref="H19">_xlfn.IFS( F19="Green", B19, F19="Yellow", B19*1.1, TRUE, B19*1.3)</f>
        <v>105</v>
      </c>
    </row>
    <row r="20" spans="1:8" x14ac:dyDescent="0.3">
      <c r="A20" s="1" t="s">
        <v>16</v>
      </c>
      <c r="B20" s="15">
        <v>97</v>
      </c>
      <c r="C20" s="15">
        <v>97</v>
      </c>
      <c r="D20" s="16">
        <v>1774</v>
      </c>
      <c r="E20" s="3">
        <v>2.6761904761904765</v>
      </c>
      <c r="F20" s="1" t="str" cm="1">
        <f t="array" ref="F20">_xlfn.IFS( OR(E20&gt;5, B20&gt;100, C20&gt;120, D20&gt;1500), "Green", OR(E20&gt;4, B20&gt;80, C20&gt;100, D20&gt;1000), "Yellow", TRUE, "Red")</f>
        <v>Green</v>
      </c>
      <c r="G20" s="1" cm="1">
        <f t="array" ref="G20">_xlfn.IFS( F20="Green", D20*0.1, F20="Yellow", D20*0.05, TRUE, 0)</f>
        <v>177.4</v>
      </c>
      <c r="H20" s="13" cm="1">
        <f t="array" ref="H20">_xlfn.IFS( F20="Green", B20, F20="Yellow", B20*1.1, TRUE, B20*1.3)</f>
        <v>97</v>
      </c>
    </row>
    <row r="21" spans="1:8" x14ac:dyDescent="0.3">
      <c r="A21" s="1" t="s">
        <v>17</v>
      </c>
      <c r="B21" s="15">
        <v>83</v>
      </c>
      <c r="C21" s="15">
        <v>83</v>
      </c>
      <c r="D21" s="16">
        <v>1382</v>
      </c>
      <c r="E21" s="3">
        <v>2.2190476190476192</v>
      </c>
      <c r="F21" s="1" t="str" cm="1">
        <f t="array" ref="F21">_xlfn.IFS( OR(E21&gt;5, B21&gt;100, C21&gt;120, D21&gt;1500), "Green", OR(E21&gt;4, B21&gt;80, C21&gt;100, D21&gt;1000), "Yellow", TRUE, "Red")</f>
        <v>Yellow</v>
      </c>
      <c r="G21" s="1" cm="1">
        <f t="array" ref="G21">_xlfn.IFS( F21="Green", D21*0.1, F21="Yellow", D21*0.05, TRUE, 0)</f>
        <v>69.100000000000009</v>
      </c>
      <c r="H21" s="13" cm="1">
        <f t="array" ref="H21">_xlfn.IFS( F21="Green", B21, F21="Yellow", B21*1.1, TRUE, B21*1.3)</f>
        <v>91.300000000000011</v>
      </c>
    </row>
    <row r="22" spans="1:8" x14ac:dyDescent="0.3">
      <c r="A22" s="1" t="s">
        <v>18</v>
      </c>
      <c r="B22" s="15">
        <v>54</v>
      </c>
      <c r="C22" s="15">
        <v>54</v>
      </c>
      <c r="D22" s="16">
        <v>968</v>
      </c>
      <c r="E22" s="3">
        <v>1.3380952380952382</v>
      </c>
      <c r="F22" s="1" t="str" cm="1">
        <f t="array" ref="F22">_xlfn.IFS( OR(E22&gt;5, B22&gt;100, C22&gt;120, D22&gt;1500), "Green", OR(E22&gt;4, B22&gt;80, C22&gt;100, D22&gt;1000), "Yellow", TRUE, "Red")</f>
        <v>Red</v>
      </c>
      <c r="G22" s="1" cm="1">
        <f t="array" ref="G22">_xlfn.IFS( F22="Green", D22*0.1, F22="Yellow", D22*0.05, TRUE, 0)</f>
        <v>0</v>
      </c>
      <c r="H22" s="13" cm="1">
        <f t="array" ref="H22">_xlfn.IFS( F22="Green", B22, F22="Yellow", B22*1.1, TRUE, B22*1.3)</f>
        <v>70.2</v>
      </c>
    </row>
    <row r="23" spans="1:8" x14ac:dyDescent="0.3">
      <c r="A23" s="1" t="s">
        <v>19</v>
      </c>
      <c r="B23" s="15">
        <v>96</v>
      </c>
      <c r="C23" s="15">
        <v>96</v>
      </c>
      <c r="D23" s="16">
        <v>1338</v>
      </c>
      <c r="E23" s="3">
        <v>2.2976190476190479</v>
      </c>
      <c r="F23" s="1" t="str" cm="1">
        <f t="array" ref="F23">_xlfn.IFS( OR(E23&gt;5, B23&gt;100, C23&gt;120, D23&gt;1500), "Green", OR(E23&gt;4, B23&gt;80, C23&gt;100, D23&gt;1000), "Yellow", TRUE, "Red")</f>
        <v>Yellow</v>
      </c>
      <c r="G23" s="1" cm="1">
        <f t="array" ref="G23">_xlfn.IFS( F23="Green", D23*0.1, F23="Yellow", D23*0.05, TRUE, 0)</f>
        <v>66.900000000000006</v>
      </c>
      <c r="H23" s="13" cm="1">
        <f t="array" ref="H23">_xlfn.IFS( F23="Green", B23, F23="Yellow", B23*1.1, TRUE, B23*1.3)</f>
        <v>105.60000000000001</v>
      </c>
    </row>
    <row r="24" spans="1:8" x14ac:dyDescent="0.3">
      <c r="A24" s="1" t="s">
        <v>20</v>
      </c>
      <c r="B24" s="15">
        <v>104</v>
      </c>
      <c r="C24" s="15">
        <v>104</v>
      </c>
      <c r="D24" s="16">
        <v>2040</v>
      </c>
      <c r="E24" s="3">
        <v>2.9333333333333331</v>
      </c>
      <c r="F24" s="1" t="str" cm="1">
        <f t="array" ref="F24">_xlfn.IFS( OR(E24&gt;5, B24&gt;100, C24&gt;120, D24&gt;1500), "Green", OR(E24&gt;4, B24&gt;80, C24&gt;100, D24&gt;1000), "Yellow", TRUE, "Red")</f>
        <v>Green</v>
      </c>
      <c r="G24" s="1" cm="1">
        <f t="array" ref="G24">_xlfn.IFS( F24="Green", D24*0.1, F24="Yellow", D24*0.05, TRUE, 0)</f>
        <v>204</v>
      </c>
      <c r="H24" s="13" cm="1">
        <f t="array" ref="H24">_xlfn.IFS( F24="Green", B24, F24="Yellow", B24*1.1, TRUE, B24*1.3)</f>
        <v>104</v>
      </c>
    </row>
    <row r="25" spans="1:8" x14ac:dyDescent="0.3">
      <c r="A25" s="1" t="s">
        <v>21</v>
      </c>
      <c r="B25" s="15">
        <v>92</v>
      </c>
      <c r="C25" s="15">
        <v>92</v>
      </c>
      <c r="D25" s="16">
        <v>1436</v>
      </c>
      <c r="E25" s="3">
        <v>2.3357142857142859</v>
      </c>
      <c r="F25" s="1" t="str" cm="1">
        <f t="array" ref="F25">_xlfn.IFS( OR(E25&gt;5, B25&gt;100, C25&gt;120, D25&gt;1500), "Green", OR(E25&gt;4, B25&gt;80, C25&gt;100, D25&gt;1000), "Yellow", TRUE, "Red")</f>
        <v>Yellow</v>
      </c>
      <c r="G25" s="1" cm="1">
        <f t="array" ref="G25">_xlfn.IFS( F25="Green", D25*0.1, F25="Yellow", D25*0.05, TRUE, 0)</f>
        <v>71.8</v>
      </c>
      <c r="H25" s="13" cm="1">
        <f t="array" ref="H25">_xlfn.IFS( F25="Green", B25, F25="Yellow", B25*1.1, TRUE, B25*1.3)</f>
        <v>101.2</v>
      </c>
    </row>
    <row r="26" spans="1:8" x14ac:dyDescent="0.3">
      <c r="A26" s="1" t="s">
        <v>22</v>
      </c>
      <c r="B26" s="15">
        <v>47</v>
      </c>
      <c r="C26" s="15">
        <v>47</v>
      </c>
      <c r="D26" s="16">
        <v>752</v>
      </c>
      <c r="E26" s="3">
        <v>1.2857142857142856</v>
      </c>
      <c r="F26" s="1" t="str" cm="1">
        <f t="array" ref="F26">_xlfn.IFS( OR(E26&gt;5, B26&gt;100, C26&gt;120, D26&gt;1500), "Green", OR(E26&gt;4, B26&gt;80, C26&gt;100, D26&gt;1000), "Yellow", TRUE, "Red")</f>
        <v>Red</v>
      </c>
      <c r="G26" s="1" cm="1">
        <f t="array" ref="G26">_xlfn.IFS( F26="Green", D26*0.1, F26="Yellow", D26*0.05, TRUE, 0)</f>
        <v>0</v>
      </c>
      <c r="H26" s="13" cm="1">
        <f t="array" ref="H26">_xlfn.IFS( F26="Green", B26, F26="Yellow", B26*1.1, TRUE, B26*1.3)</f>
        <v>61.1</v>
      </c>
    </row>
    <row r="27" spans="1:8" x14ac:dyDescent="0.3">
      <c r="A27" s="1" t="s">
        <v>23</v>
      </c>
      <c r="B27" s="15">
        <v>94</v>
      </c>
      <c r="C27" s="15">
        <v>94</v>
      </c>
      <c r="D27" s="16">
        <v>1487</v>
      </c>
      <c r="E27" s="3">
        <v>2.407142857142857</v>
      </c>
      <c r="F27" s="1" t="str" cm="1">
        <f t="array" ref="F27">_xlfn.IFS( OR(E27&gt;5, B27&gt;100, C27&gt;120, D27&gt;1500), "Green", OR(E27&gt;4, B27&gt;80, C27&gt;100, D27&gt;1000), "Yellow", TRUE, "Red")</f>
        <v>Yellow</v>
      </c>
      <c r="G27" s="1" cm="1">
        <f t="array" ref="G27">_xlfn.IFS( F27="Green", D27*0.1, F27="Yellow", D27*0.05, TRUE, 0)</f>
        <v>74.350000000000009</v>
      </c>
      <c r="H27" s="13" cm="1">
        <f t="array" ref="H27">_xlfn.IFS( F27="Green", B27, F27="Yellow", B27*1.1, TRUE, B27*1.3)</f>
        <v>103.4</v>
      </c>
    </row>
    <row r="28" spans="1:8" x14ac:dyDescent="0.3">
      <c r="A28" s="1" t="s">
        <v>24</v>
      </c>
      <c r="B28" s="15">
        <v>126</v>
      </c>
      <c r="C28" s="15">
        <v>126</v>
      </c>
      <c r="D28" s="16">
        <v>2182</v>
      </c>
      <c r="E28" s="3">
        <v>3.0595238095238098</v>
      </c>
      <c r="F28" s="1" t="str" cm="1">
        <f t="array" ref="F28">_xlfn.IFS( OR(E28&gt;5, B28&gt;100, C28&gt;120, D28&gt;1500), "Green", OR(E28&gt;4, B28&gt;80, C28&gt;100, D28&gt;1000), "Yellow", TRUE, "Red")</f>
        <v>Green</v>
      </c>
      <c r="G28" s="1" cm="1">
        <f t="array" ref="G28">_xlfn.IFS( F28="Green", D28*0.1, F28="Yellow", D28*0.05, TRUE, 0)</f>
        <v>218.20000000000002</v>
      </c>
      <c r="H28" s="13" cm="1">
        <f t="array" ref="H28">_xlfn.IFS( F28="Green", B28, F28="Yellow", B28*1.1, TRUE, B28*1.3)</f>
        <v>126</v>
      </c>
    </row>
    <row r="29" spans="1:8" x14ac:dyDescent="0.3">
      <c r="A29" s="1" t="s">
        <v>25</v>
      </c>
      <c r="B29" s="15">
        <v>106</v>
      </c>
      <c r="C29" s="15">
        <v>106</v>
      </c>
      <c r="D29" s="16">
        <v>1568</v>
      </c>
      <c r="E29" s="3">
        <v>2.4357142857142855</v>
      </c>
      <c r="F29" s="1" t="str" cm="1">
        <f t="array" ref="F29">_xlfn.IFS( OR(E29&gt;5, B29&gt;100, C29&gt;120, D29&gt;1500), "Green", OR(E29&gt;4, B29&gt;80, C29&gt;100, D29&gt;1000), "Yellow", TRUE, "Red")</f>
        <v>Green</v>
      </c>
      <c r="G29" s="1" cm="1">
        <f t="array" ref="G29">_xlfn.IFS( F29="Green", D29*0.1, F29="Yellow", D29*0.05, TRUE, 0)</f>
        <v>156.80000000000001</v>
      </c>
      <c r="H29" s="13" cm="1">
        <f t="array" ref="H29">_xlfn.IFS( F29="Green", B29, F29="Yellow", B29*1.1, TRUE, B29*1.3)</f>
        <v>106</v>
      </c>
    </row>
    <row r="30" spans="1:8" x14ac:dyDescent="0.3">
      <c r="A30" s="1" t="s">
        <v>26</v>
      </c>
      <c r="B30" s="15">
        <v>90</v>
      </c>
      <c r="C30" s="15">
        <v>90</v>
      </c>
      <c r="D30" s="16">
        <v>1437</v>
      </c>
      <c r="E30" s="3">
        <v>2.4309523809523812</v>
      </c>
      <c r="F30" s="1" t="str" cm="1">
        <f t="array" ref="F30">_xlfn.IFS( OR(E30&gt;5, B30&gt;100, C30&gt;120, D30&gt;1500), "Green", OR(E30&gt;4, B30&gt;80, C30&gt;100, D30&gt;1000), "Yellow", TRUE, "Red")</f>
        <v>Yellow</v>
      </c>
      <c r="G30" s="1" cm="1">
        <f t="array" ref="G30">_xlfn.IFS( F30="Green", D30*0.1, F30="Yellow", D30*0.05, TRUE, 0)</f>
        <v>71.850000000000009</v>
      </c>
      <c r="H30" s="13" cm="1">
        <f t="array" ref="H30">_xlfn.IFS( F30="Green", B30, F30="Yellow", B30*1.1, TRUE, B30*1.3)</f>
        <v>99.000000000000014</v>
      </c>
    </row>
    <row r="31" spans="1:8" x14ac:dyDescent="0.3">
      <c r="A31" s="1" t="s">
        <v>27</v>
      </c>
      <c r="B31" s="15">
        <v>71</v>
      </c>
      <c r="C31" s="15">
        <v>71</v>
      </c>
      <c r="D31" s="16">
        <v>1211</v>
      </c>
      <c r="E31" s="3">
        <v>1.9571428571428571</v>
      </c>
      <c r="F31" s="1" t="str" cm="1">
        <f t="array" ref="F31">_xlfn.IFS( OR(E31&gt;5, B31&gt;100, C31&gt;120, D31&gt;1500), "Green", OR(E31&gt;4, B31&gt;80, C31&gt;100, D31&gt;1000), "Yellow", TRUE, "Red")</f>
        <v>Yellow</v>
      </c>
      <c r="G31" s="1" cm="1">
        <f t="array" ref="G31">_xlfn.IFS( F31="Green", D31*0.1, F31="Yellow", D31*0.05, TRUE, 0)</f>
        <v>60.550000000000004</v>
      </c>
      <c r="H31" s="13" cm="1">
        <f t="array" ref="H31">_xlfn.IFS( F31="Green", B31, F31="Yellow", B31*1.1, TRUE, B31*1.3)</f>
        <v>78.100000000000009</v>
      </c>
    </row>
    <row r="32" spans="1:8" x14ac:dyDescent="0.3">
      <c r="A32" s="1" t="s">
        <v>28</v>
      </c>
      <c r="B32" s="15">
        <v>104</v>
      </c>
      <c r="C32" s="15">
        <v>104</v>
      </c>
      <c r="D32" s="16">
        <v>2053</v>
      </c>
      <c r="E32" s="3">
        <v>2.9833333333333334</v>
      </c>
      <c r="F32" s="1" t="str" cm="1">
        <f t="array" ref="F32">_xlfn.IFS( OR(E32&gt;5, B32&gt;100, C32&gt;120, D32&gt;1500), "Green", OR(E32&gt;4, B32&gt;80, C32&gt;100, D32&gt;1000), "Yellow", TRUE, "Red")</f>
        <v>Green</v>
      </c>
      <c r="G32" s="1" cm="1">
        <f t="array" ref="G32">_xlfn.IFS( F32="Green", D32*0.1, F32="Yellow", D32*0.05, TRUE, 0)</f>
        <v>205.3</v>
      </c>
      <c r="H32" s="13" cm="1">
        <f t="array" ref="H32">_xlfn.IFS( F32="Green", B32, F32="Yellow", B32*1.1, TRUE, B32*1.3)</f>
        <v>104</v>
      </c>
    </row>
    <row r="33" spans="1:8" x14ac:dyDescent="0.3">
      <c r="A33" s="1" t="s">
        <v>29</v>
      </c>
      <c r="B33" s="15">
        <v>48</v>
      </c>
      <c r="C33" s="15">
        <v>48</v>
      </c>
      <c r="D33" s="16">
        <v>541</v>
      </c>
      <c r="E33" s="3">
        <v>1.0738095238095238</v>
      </c>
      <c r="F33" s="1" t="str" cm="1">
        <f t="array" ref="F33">_xlfn.IFS( OR(E33&gt;5, B33&gt;100, C33&gt;120, D33&gt;1500), "Green", OR(E33&gt;4, B33&gt;80, C33&gt;100, D33&gt;1000), "Yellow", TRUE, "Red")</f>
        <v>Red</v>
      </c>
      <c r="G33" s="1" cm="1">
        <f t="array" ref="G33">_xlfn.IFS( F33="Green", D33*0.1, F33="Yellow", D33*0.05, TRUE, 0)</f>
        <v>0</v>
      </c>
      <c r="H33" s="13" cm="1">
        <f t="array" ref="H33">_xlfn.IFS( F33="Green", B33, F33="Yellow", B33*1.1, TRUE, B33*1.3)</f>
        <v>62.400000000000006</v>
      </c>
    </row>
    <row r="34" spans="1:8" x14ac:dyDescent="0.3">
      <c r="A34" s="1" t="s">
        <v>30</v>
      </c>
      <c r="B34" s="15">
        <v>103</v>
      </c>
      <c r="C34" s="15">
        <v>103</v>
      </c>
      <c r="D34" s="16">
        <v>1686</v>
      </c>
      <c r="E34" s="3">
        <v>2.4880952380952381</v>
      </c>
      <c r="F34" s="1" t="str" cm="1">
        <f t="array" ref="F34">_xlfn.IFS( OR(E34&gt;5, B34&gt;100, C34&gt;120, D34&gt;1500), "Green", OR(E34&gt;4, B34&gt;80, C34&gt;100, D34&gt;1000), "Yellow", TRUE, "Red")</f>
        <v>Green</v>
      </c>
      <c r="G34" s="1" cm="1">
        <f t="array" ref="G34">_xlfn.IFS( F34="Green", D34*0.1, F34="Yellow", D34*0.05, TRUE, 0)</f>
        <v>168.60000000000002</v>
      </c>
      <c r="H34" s="13" cm="1">
        <f t="array" ref="H34">_xlfn.IFS( F34="Green", B34, F34="Yellow", B34*1.1, TRUE, B34*1.3)</f>
        <v>103</v>
      </c>
    </row>
    <row r="35" spans="1:8" x14ac:dyDescent="0.3">
      <c r="A35" s="1" t="s">
        <v>31</v>
      </c>
      <c r="B35" s="15">
        <v>98</v>
      </c>
      <c r="C35" s="15">
        <v>98</v>
      </c>
      <c r="D35" s="16">
        <v>1878</v>
      </c>
      <c r="E35" s="3">
        <v>2.7904761904761903</v>
      </c>
      <c r="F35" s="1" t="str" cm="1">
        <f t="array" ref="F35">_xlfn.IFS( OR(E35&gt;5, B35&gt;100, C35&gt;120, D35&gt;1500), "Green", OR(E35&gt;4, B35&gt;80, C35&gt;100, D35&gt;1000), "Yellow", TRUE, "Red")</f>
        <v>Green</v>
      </c>
      <c r="G35" s="1" cm="1">
        <f t="array" ref="G35">_xlfn.IFS( F35="Green", D35*0.1, F35="Yellow", D35*0.05, TRUE, 0)</f>
        <v>187.8</v>
      </c>
      <c r="H35" s="13" cm="1">
        <f t="array" ref="H35">_xlfn.IFS( F35="Green", B35, F35="Yellow", B35*1.1, TRUE, B35*1.3)</f>
        <v>98</v>
      </c>
    </row>
    <row r="36" spans="1:8" x14ac:dyDescent="0.3">
      <c r="A36" s="1" t="s">
        <v>32</v>
      </c>
      <c r="B36" s="15">
        <v>121</v>
      </c>
      <c r="C36" s="15">
        <v>121</v>
      </c>
      <c r="D36" s="16">
        <v>2183</v>
      </c>
      <c r="E36" s="3">
        <v>3.4595238095238097</v>
      </c>
      <c r="F36" s="1" t="str" cm="1">
        <f t="array" ref="F36">_xlfn.IFS( OR(E36&gt;5, B36&gt;100, C36&gt;120, D36&gt;1500), "Green", OR(E36&gt;4, B36&gt;80, C36&gt;100, D36&gt;1000), "Yellow", TRUE, "Red")</f>
        <v>Green</v>
      </c>
      <c r="G36" s="1" cm="1">
        <f t="array" ref="G36">_xlfn.IFS( F36="Green", D36*0.1, F36="Yellow", D36*0.05, TRUE, 0)</f>
        <v>218.3</v>
      </c>
      <c r="H36" s="13" cm="1">
        <f t="array" ref="H36">_xlfn.IFS( F36="Green", B36, F36="Yellow", B36*1.1, TRUE, B36*1.3)</f>
        <v>121</v>
      </c>
    </row>
    <row r="37" spans="1:8" x14ac:dyDescent="0.3">
      <c r="A37" s="1" t="s">
        <v>33</v>
      </c>
      <c r="B37" s="15">
        <v>108</v>
      </c>
      <c r="C37" s="15">
        <v>108</v>
      </c>
      <c r="D37" s="16">
        <v>1808</v>
      </c>
      <c r="E37" s="3">
        <v>2.9857142857142858</v>
      </c>
      <c r="F37" s="1" t="str" cm="1">
        <f t="array" ref="F37">_xlfn.IFS( OR(E37&gt;5, B37&gt;100, C37&gt;120, D37&gt;1500), "Green", OR(E37&gt;4, B37&gt;80, C37&gt;100, D37&gt;1000), "Yellow", TRUE, "Red")</f>
        <v>Green</v>
      </c>
      <c r="G37" s="1" cm="1">
        <f t="array" ref="G37">_xlfn.IFS( F37="Green", D37*0.1, F37="Yellow", D37*0.05, TRUE, 0)</f>
        <v>180.8</v>
      </c>
      <c r="H37" s="13" cm="1">
        <f t="array" ref="H37">_xlfn.IFS( F37="Green", B37, F37="Yellow", B37*1.1, TRUE, B37*1.3)</f>
        <v>108</v>
      </c>
    </row>
    <row r="38" spans="1:8" x14ac:dyDescent="0.3">
      <c r="A38" s="1" t="s">
        <v>34</v>
      </c>
      <c r="B38" s="15">
        <v>103</v>
      </c>
      <c r="C38" s="15">
        <v>103</v>
      </c>
      <c r="D38" s="16">
        <v>2319</v>
      </c>
      <c r="E38" s="3">
        <v>3.1166666666666667</v>
      </c>
      <c r="F38" s="1" t="str" cm="1">
        <f t="array" ref="F38">_xlfn.IFS( OR(E38&gt;5, B38&gt;100, C38&gt;120, D38&gt;1500), "Green", OR(E38&gt;4, B38&gt;80, C38&gt;100, D38&gt;1000), "Yellow", TRUE, "Red")</f>
        <v>Green</v>
      </c>
      <c r="G38" s="1" cm="1">
        <f t="array" ref="G38">_xlfn.IFS( F38="Green", D38*0.1, F38="Yellow", D38*0.05, TRUE, 0)</f>
        <v>231.9</v>
      </c>
      <c r="H38" s="13" cm="1">
        <f t="array" ref="H38">_xlfn.IFS( F38="Green", B38, F38="Yellow", B38*1.1, TRUE, B38*1.3)</f>
        <v>103</v>
      </c>
    </row>
    <row r="39" spans="1:8" x14ac:dyDescent="0.3">
      <c r="A39" s="1" t="s">
        <v>35</v>
      </c>
      <c r="B39" s="15">
        <v>95</v>
      </c>
      <c r="C39" s="15">
        <v>95</v>
      </c>
      <c r="D39" s="16">
        <v>1449</v>
      </c>
      <c r="E39" s="3">
        <v>2.3119047619047621</v>
      </c>
      <c r="F39" s="1" t="str" cm="1">
        <f t="array" ref="F39">_xlfn.IFS( OR(E39&gt;5, B39&gt;100, C39&gt;120, D39&gt;1500), "Green", OR(E39&gt;4, B39&gt;80, C39&gt;100, D39&gt;1000), "Yellow", TRUE, "Red")</f>
        <v>Yellow</v>
      </c>
      <c r="G39" s="1" cm="1">
        <f t="array" ref="G39">_xlfn.IFS( F39="Green", D39*0.1, F39="Yellow", D39*0.05, TRUE, 0)</f>
        <v>72.45</v>
      </c>
      <c r="H39" s="13" cm="1">
        <f t="array" ref="H39">_xlfn.IFS( F39="Green", B39, F39="Yellow", B39*1.1, TRUE, B39*1.3)</f>
        <v>104.50000000000001</v>
      </c>
    </row>
    <row r="40" spans="1:8" x14ac:dyDescent="0.3">
      <c r="A40" s="1" t="s">
        <v>36</v>
      </c>
      <c r="B40" s="15">
        <v>104</v>
      </c>
      <c r="C40" s="15">
        <v>104</v>
      </c>
      <c r="D40" s="16">
        <v>1620</v>
      </c>
      <c r="E40" s="3">
        <v>2.6452380952380952</v>
      </c>
      <c r="F40" s="1" t="str" cm="1">
        <f t="array" ref="F40">_xlfn.IFS( OR(E40&gt;5, B40&gt;100, C40&gt;120, D40&gt;1500), "Green", OR(E40&gt;4, B40&gt;80, C40&gt;100, D40&gt;1000), "Yellow", TRUE, "Red")</f>
        <v>Green</v>
      </c>
      <c r="G40" s="1" cm="1">
        <f t="array" ref="G40">_xlfn.IFS( F40="Green", D40*0.1, F40="Yellow", D40*0.05, TRUE, 0)</f>
        <v>162</v>
      </c>
      <c r="H40" s="13" cm="1">
        <f t="array" ref="H40">_xlfn.IFS( F40="Green", B40, F40="Yellow", B40*1.1, TRUE, B40*1.3)</f>
        <v>104</v>
      </c>
    </row>
    <row r="41" spans="1:8" x14ac:dyDescent="0.3">
      <c r="A41" s="1" t="s">
        <v>37</v>
      </c>
      <c r="B41" s="15">
        <v>109</v>
      </c>
      <c r="C41" s="15">
        <v>109</v>
      </c>
      <c r="D41" s="16">
        <v>1774</v>
      </c>
      <c r="E41" s="3">
        <v>2.9571428571428569</v>
      </c>
      <c r="F41" s="1" t="str" cm="1">
        <f t="array" ref="F41">_xlfn.IFS( OR(E41&gt;5, B41&gt;100, C41&gt;120, D41&gt;1500), "Green", OR(E41&gt;4, B41&gt;80, C41&gt;100, D41&gt;1000), "Yellow", TRUE, "Red")</f>
        <v>Green</v>
      </c>
      <c r="G41" s="1" cm="1">
        <f t="array" ref="G41">_xlfn.IFS( F41="Green", D41*0.1, F41="Yellow", D41*0.05, TRUE, 0)</f>
        <v>177.4</v>
      </c>
      <c r="H41" s="13" cm="1">
        <f t="array" ref="H41">_xlfn.IFS( F41="Green", B41, F41="Yellow", B41*1.1, TRUE, B41*1.3)</f>
        <v>109</v>
      </c>
    </row>
    <row r="42" spans="1:8" x14ac:dyDescent="0.3">
      <c r="A42" s="1" t="s">
        <v>38</v>
      </c>
      <c r="B42" s="15">
        <v>103</v>
      </c>
      <c r="C42" s="15">
        <v>103</v>
      </c>
      <c r="D42" s="16">
        <v>1925</v>
      </c>
      <c r="E42" s="3">
        <v>3.0047619047619047</v>
      </c>
      <c r="F42" s="1" t="str" cm="1">
        <f t="array" ref="F42">_xlfn.IFS( OR(E42&gt;5, B42&gt;100, C42&gt;120, D42&gt;1500), "Green", OR(E42&gt;4, B42&gt;80, C42&gt;100, D42&gt;1000), "Yellow", TRUE, "Red")</f>
        <v>Green</v>
      </c>
      <c r="G42" s="1" cm="1">
        <f t="array" ref="G42">_xlfn.IFS( F42="Green", D42*0.1, F42="Yellow", D42*0.05, TRUE, 0)</f>
        <v>192.5</v>
      </c>
      <c r="H42" s="13" cm="1">
        <f t="array" ref="H42">_xlfn.IFS( F42="Green", B42, F42="Yellow", B42*1.1, TRUE, B42*1.3)</f>
        <v>103</v>
      </c>
    </row>
    <row r="43" spans="1:8" x14ac:dyDescent="0.3">
      <c r="A43" s="1" t="s">
        <v>39</v>
      </c>
      <c r="B43" s="15">
        <v>103</v>
      </c>
      <c r="C43" s="15">
        <v>103</v>
      </c>
      <c r="D43" s="16">
        <v>1631</v>
      </c>
      <c r="E43" s="3">
        <v>2.6071428571428568</v>
      </c>
      <c r="F43" s="1" t="str" cm="1">
        <f t="array" ref="F43">_xlfn.IFS( OR(E43&gt;5, B43&gt;100, C43&gt;120, D43&gt;1500), "Green", OR(E43&gt;4, B43&gt;80, C43&gt;100, D43&gt;1000), "Yellow", TRUE, "Red")</f>
        <v>Green</v>
      </c>
      <c r="G43" s="1" cm="1">
        <f t="array" ref="G43">_xlfn.IFS( F43="Green", D43*0.1, F43="Yellow", D43*0.05, TRUE, 0)</f>
        <v>163.10000000000002</v>
      </c>
      <c r="H43" s="13" cm="1">
        <f t="array" ref="H43">_xlfn.IFS( F43="Green", B43, F43="Yellow", B43*1.1, TRUE, B43*1.3)</f>
        <v>103</v>
      </c>
    </row>
    <row r="44" spans="1:8" x14ac:dyDescent="0.3">
      <c r="A44" s="1" t="s">
        <v>40</v>
      </c>
      <c r="B44" s="15">
        <v>60</v>
      </c>
      <c r="C44" s="15">
        <v>60</v>
      </c>
      <c r="D44" s="16">
        <v>1005</v>
      </c>
      <c r="E44" s="3">
        <v>1.5595238095238095</v>
      </c>
      <c r="F44" s="1" t="str" cm="1">
        <f t="array" ref="F44">_xlfn.IFS( OR(E44&gt;5, B44&gt;100, C44&gt;120, D44&gt;1500), "Green", OR(E44&gt;4, B44&gt;80, C44&gt;100, D44&gt;1000), "Yellow", TRUE, "Red")</f>
        <v>Yellow</v>
      </c>
      <c r="G44" s="1" cm="1">
        <f t="array" ref="G44">_xlfn.IFS( F44="Green", D44*0.1, F44="Yellow", D44*0.05, TRUE, 0)</f>
        <v>50.25</v>
      </c>
      <c r="H44" s="13" cm="1">
        <f t="array" ref="H44">_xlfn.IFS( F44="Green", B44, F44="Yellow", B44*1.1, TRUE, B44*1.3)</f>
        <v>66</v>
      </c>
    </row>
    <row r="45" spans="1:8" x14ac:dyDescent="0.3">
      <c r="A45" s="1" t="s">
        <v>41</v>
      </c>
      <c r="B45" s="15">
        <v>101</v>
      </c>
      <c r="C45" s="15">
        <v>101</v>
      </c>
      <c r="D45" s="16">
        <v>1762</v>
      </c>
      <c r="E45" s="3">
        <v>2.7833333333333332</v>
      </c>
      <c r="F45" s="1" t="str" cm="1">
        <f t="array" ref="F45">_xlfn.IFS( OR(E45&gt;5, B45&gt;100, C45&gt;120, D45&gt;1500), "Green", OR(E45&gt;4, B45&gt;80, C45&gt;100, D45&gt;1000), "Yellow", TRUE, "Red")</f>
        <v>Green</v>
      </c>
      <c r="G45" s="1" cm="1">
        <f t="array" ref="G45">_xlfn.IFS( F45="Green", D45*0.1, F45="Yellow", D45*0.05, TRUE, 0)</f>
        <v>176.20000000000002</v>
      </c>
      <c r="H45" s="13" cm="1">
        <f t="array" ref="H45">_xlfn.IFS( F45="Green", B45, F45="Yellow", B45*1.1, TRUE, B45*1.3)</f>
        <v>101</v>
      </c>
    </row>
    <row r="46" spans="1:8" x14ac:dyDescent="0.3">
      <c r="A46" s="1" t="s">
        <v>42</v>
      </c>
      <c r="B46" s="15">
        <v>46</v>
      </c>
      <c r="C46" s="15">
        <v>46</v>
      </c>
      <c r="D46" s="16">
        <v>619</v>
      </c>
      <c r="E46" s="3">
        <v>1.0976190476190477</v>
      </c>
      <c r="F46" s="1" t="str" cm="1">
        <f t="array" ref="F46">_xlfn.IFS( OR(E46&gt;5, B46&gt;100, C46&gt;120, D46&gt;1500), "Green", OR(E46&gt;4, B46&gt;80, C46&gt;100, D46&gt;1000), "Yellow", TRUE, "Red")</f>
        <v>Red</v>
      </c>
      <c r="G46" s="1" cm="1">
        <f t="array" ref="G46">_xlfn.IFS( F46="Green", D46*0.1, F46="Yellow", D46*0.05, TRUE, 0)</f>
        <v>0</v>
      </c>
      <c r="H46" s="13" cm="1">
        <f t="array" ref="H46">_xlfn.IFS( F46="Green", B46, F46="Yellow", B46*1.1, TRUE, B46*1.3)</f>
        <v>59.800000000000004</v>
      </c>
    </row>
    <row r="47" spans="1:8" x14ac:dyDescent="0.3">
      <c r="A47" s="1" t="s">
        <v>43</v>
      </c>
      <c r="B47" s="15">
        <v>45</v>
      </c>
      <c r="C47" s="15">
        <v>45</v>
      </c>
      <c r="D47" s="16">
        <v>729</v>
      </c>
      <c r="E47" s="3">
        <v>1.1761904761904762</v>
      </c>
      <c r="F47" s="1" t="str" cm="1">
        <f t="array" ref="F47">_xlfn.IFS( OR(E47&gt;5, B47&gt;100, C47&gt;120, D47&gt;1500), "Green", OR(E47&gt;4, B47&gt;80, C47&gt;100, D47&gt;1000), "Yellow", TRUE, "Red")</f>
        <v>Red</v>
      </c>
      <c r="G47" s="1" cm="1">
        <f t="array" ref="G47">_xlfn.IFS( F47="Green", D47*0.1, F47="Yellow", D47*0.05, TRUE, 0)</f>
        <v>0</v>
      </c>
      <c r="H47" s="13" cm="1">
        <f t="array" ref="H47">_xlfn.IFS( F47="Green", B47, F47="Yellow", B47*1.1, TRUE, B47*1.3)</f>
        <v>58.5</v>
      </c>
    </row>
    <row r="48" spans="1:8" x14ac:dyDescent="0.3">
      <c r="A48" s="1" t="s">
        <v>44</v>
      </c>
      <c r="B48" s="15">
        <v>55</v>
      </c>
      <c r="C48" s="15">
        <v>55</v>
      </c>
      <c r="D48" s="16">
        <v>914</v>
      </c>
      <c r="E48" s="3">
        <v>1.3761904761904762</v>
      </c>
      <c r="F48" s="1" t="str" cm="1">
        <f t="array" ref="F48">_xlfn.IFS( OR(E48&gt;5, B48&gt;100, C48&gt;120, D48&gt;1500), "Green", OR(E48&gt;4, B48&gt;80, C48&gt;100, D48&gt;1000), "Yellow", TRUE, "Red")</f>
        <v>Red</v>
      </c>
      <c r="G48" s="1" cm="1">
        <f t="array" ref="G48">_xlfn.IFS( F48="Green", D48*0.1, F48="Yellow", D48*0.05, TRUE, 0)</f>
        <v>0</v>
      </c>
      <c r="H48" s="13" cm="1">
        <f t="array" ref="H48">_xlfn.IFS( F48="Green", B48, F48="Yellow", B48*1.1, TRUE, B48*1.3)</f>
        <v>71.5</v>
      </c>
    </row>
    <row r="49" spans="1:8" x14ac:dyDescent="0.3">
      <c r="A49" s="1" t="s">
        <v>45</v>
      </c>
      <c r="B49" s="15">
        <v>55</v>
      </c>
      <c r="C49" s="15">
        <v>55</v>
      </c>
      <c r="D49" s="16">
        <v>843</v>
      </c>
      <c r="E49" s="3">
        <v>1.3142857142857143</v>
      </c>
      <c r="F49" s="1" t="str" cm="1">
        <f t="array" ref="F49">_xlfn.IFS( OR(E49&gt;5, B49&gt;100, C49&gt;120, D49&gt;1500), "Green", OR(E49&gt;4, B49&gt;80, C49&gt;100, D49&gt;1000), "Yellow", TRUE, "Red")</f>
        <v>Red</v>
      </c>
      <c r="G49" s="1" cm="1">
        <f t="array" ref="G49">_xlfn.IFS( F49="Green", D49*0.1, F49="Yellow", D49*0.05, TRUE, 0)</f>
        <v>0</v>
      </c>
      <c r="H49" s="13" cm="1">
        <f t="array" ref="H49">_xlfn.IFS( F49="Green", B49, F49="Yellow", B49*1.1, TRUE, B49*1.3)</f>
        <v>71.5</v>
      </c>
    </row>
    <row r="50" spans="1:8" x14ac:dyDescent="0.3">
      <c r="A50" s="1" t="s">
        <v>46</v>
      </c>
      <c r="B50" s="15">
        <v>96</v>
      </c>
      <c r="C50" s="15">
        <v>96</v>
      </c>
      <c r="D50" s="16">
        <v>1582</v>
      </c>
      <c r="E50" s="3">
        <v>2.4666666666666668</v>
      </c>
      <c r="F50" s="1" t="str" cm="1">
        <f t="array" ref="F50">_xlfn.IFS( OR(E50&gt;5, B50&gt;100, C50&gt;120, D50&gt;1500), "Green", OR(E50&gt;4, B50&gt;80, C50&gt;100, D50&gt;1000), "Yellow", TRUE, "Red")</f>
        <v>Green</v>
      </c>
      <c r="G50" s="1" cm="1">
        <f t="array" ref="G50">_xlfn.IFS( F50="Green", D50*0.1, F50="Yellow", D50*0.05, TRUE, 0)</f>
        <v>158.20000000000002</v>
      </c>
      <c r="H50" s="13" cm="1">
        <f t="array" ref="H50">_xlfn.IFS( F50="Green", B50, F50="Yellow", B50*1.1, TRUE, B50*1.3)</f>
        <v>96</v>
      </c>
    </row>
    <row r="51" spans="1:8" x14ac:dyDescent="0.3">
      <c r="A51" s="1" t="s">
        <v>47</v>
      </c>
      <c r="B51" s="15">
        <v>124</v>
      </c>
      <c r="C51" s="15">
        <v>124</v>
      </c>
      <c r="D51" s="16">
        <v>2198</v>
      </c>
      <c r="E51" s="3">
        <v>3.5904761904761902</v>
      </c>
      <c r="F51" s="1" t="str" cm="1">
        <f t="array" ref="F51">_xlfn.IFS( OR(E51&gt;5, B51&gt;100, C51&gt;120, D51&gt;1500), "Green", OR(E51&gt;4, B51&gt;80, C51&gt;100, D51&gt;1000), "Yellow", TRUE, "Red")</f>
        <v>Green</v>
      </c>
      <c r="G51" s="1" cm="1">
        <f t="array" ref="G51">_xlfn.IFS( F51="Green", D51*0.1, F51="Yellow", D51*0.05, TRUE, 0)</f>
        <v>219.8</v>
      </c>
      <c r="H51" s="13" cm="1">
        <f t="array" ref="H51">_xlfn.IFS( F51="Green", B51, F51="Yellow", B51*1.1, TRUE, B51*1.3)</f>
        <v>124</v>
      </c>
    </row>
    <row r="52" spans="1:8" x14ac:dyDescent="0.3">
      <c r="A52" s="1" t="s">
        <v>48</v>
      </c>
      <c r="B52" s="15">
        <v>83</v>
      </c>
      <c r="C52" s="15">
        <v>83</v>
      </c>
      <c r="D52" s="16">
        <v>1770</v>
      </c>
      <c r="E52" s="3">
        <v>2.4166666666666665</v>
      </c>
      <c r="F52" s="1" t="str" cm="1">
        <f t="array" ref="F52">_xlfn.IFS( OR(E52&gt;5, B52&gt;100, C52&gt;120, D52&gt;1500), "Green", OR(E52&gt;4, B52&gt;80, C52&gt;100, D52&gt;1000), "Yellow", TRUE, "Red")</f>
        <v>Green</v>
      </c>
      <c r="G52" s="1" cm="1">
        <f t="array" ref="G52">_xlfn.IFS( F52="Green", D52*0.1, F52="Yellow", D52*0.05, TRUE, 0)</f>
        <v>177</v>
      </c>
      <c r="H52" s="13" cm="1">
        <f t="array" ref="H52">_xlfn.IFS( F52="Green", B52, F52="Yellow", B52*1.1, TRUE, B52*1.3)</f>
        <v>83</v>
      </c>
    </row>
    <row r="53" spans="1:8" x14ac:dyDescent="0.3">
      <c r="A53" s="1" t="s">
        <v>49</v>
      </c>
      <c r="B53" s="15">
        <v>103</v>
      </c>
      <c r="C53" s="15">
        <v>103</v>
      </c>
      <c r="D53" s="16">
        <v>1517</v>
      </c>
      <c r="E53" s="3">
        <v>2.4119047619047622</v>
      </c>
      <c r="F53" s="1" t="str" cm="1">
        <f t="array" ref="F53">_xlfn.IFS( OR(E53&gt;5, B53&gt;100, C53&gt;120, D53&gt;1500), "Green", OR(E53&gt;4, B53&gt;80, C53&gt;100, D53&gt;1000), "Yellow", TRUE, "Red")</f>
        <v>Green</v>
      </c>
      <c r="G53" s="1" cm="1">
        <f t="array" ref="G53">_xlfn.IFS( F53="Green", D53*0.1, F53="Yellow", D53*0.05, TRUE, 0)</f>
        <v>151.70000000000002</v>
      </c>
      <c r="H53" s="13" cm="1">
        <f t="array" ref="H53">_xlfn.IFS( F53="Green", B53, F53="Yellow", B53*1.1, TRUE, B53*1.3)</f>
        <v>103</v>
      </c>
    </row>
    <row r="54" spans="1:8" x14ac:dyDescent="0.3">
      <c r="A54" s="1" t="s">
        <v>50</v>
      </c>
      <c r="B54" s="15">
        <v>59</v>
      </c>
      <c r="C54" s="15">
        <v>59</v>
      </c>
      <c r="D54" s="16">
        <v>818</v>
      </c>
      <c r="E54" s="3">
        <v>1.3666666666666667</v>
      </c>
      <c r="F54" s="1" t="str" cm="1">
        <f t="array" ref="F54">_xlfn.IFS( OR(E54&gt;5, B54&gt;100, C54&gt;120, D54&gt;1500), "Green", OR(E54&gt;4, B54&gt;80, C54&gt;100, D54&gt;1000), "Yellow", TRUE, "Red")</f>
        <v>Red</v>
      </c>
      <c r="G54" s="1" cm="1">
        <f t="array" ref="G54">_xlfn.IFS( F54="Green", D54*0.1, F54="Yellow", D54*0.05, TRUE, 0)</f>
        <v>0</v>
      </c>
      <c r="H54" s="13" cm="1">
        <f t="array" ref="H54">_xlfn.IFS( F54="Green", B54, F54="Yellow", B54*1.1, TRUE, B54*1.3)</f>
        <v>76.7</v>
      </c>
    </row>
    <row r="55" spans="1:8" x14ac:dyDescent="0.3">
      <c r="A55" s="1" t="s">
        <v>51</v>
      </c>
      <c r="B55" s="15">
        <v>92</v>
      </c>
      <c r="C55" s="15">
        <v>92</v>
      </c>
      <c r="D55" s="16">
        <v>1517</v>
      </c>
      <c r="E55" s="3">
        <v>2.2833333333333332</v>
      </c>
      <c r="F55" s="1" t="str" cm="1">
        <f t="array" ref="F55">_xlfn.IFS( OR(E55&gt;5, B55&gt;100, C55&gt;120, D55&gt;1500), "Green", OR(E55&gt;4, B55&gt;80, C55&gt;100, D55&gt;1000), "Yellow", TRUE, "Red")</f>
        <v>Green</v>
      </c>
      <c r="G55" s="1" cm="1">
        <f t="array" ref="G55">_xlfn.IFS( F55="Green", D55*0.1, F55="Yellow", D55*0.05, TRUE, 0)</f>
        <v>151.70000000000002</v>
      </c>
      <c r="H55" s="13" cm="1">
        <f t="array" ref="H55">_xlfn.IFS( F55="Green", B55, F55="Yellow", B55*1.1, TRUE, B55*1.3)</f>
        <v>92</v>
      </c>
    </row>
    <row r="56" spans="1:8" x14ac:dyDescent="0.3">
      <c r="A56" s="1" t="s">
        <v>52</v>
      </c>
      <c r="B56" s="15">
        <v>50</v>
      </c>
      <c r="C56" s="15">
        <v>50</v>
      </c>
      <c r="D56" s="16">
        <v>862</v>
      </c>
      <c r="E56" s="3">
        <v>1.430952380952381</v>
      </c>
      <c r="F56" s="1" t="str" cm="1">
        <f t="array" ref="F56">_xlfn.IFS( OR(E56&gt;5, B56&gt;100, C56&gt;120, D56&gt;1500), "Green", OR(E56&gt;4, B56&gt;80, C56&gt;100, D56&gt;1000), "Yellow", TRUE, "Red")</f>
        <v>Red</v>
      </c>
      <c r="G56" s="1" cm="1">
        <f t="array" ref="G56">_xlfn.IFS( F56="Green", D56*0.1, F56="Yellow", D56*0.05, TRUE, 0)</f>
        <v>0</v>
      </c>
      <c r="H56" s="13" cm="1">
        <f t="array" ref="H56">_xlfn.IFS( F56="Green", B56, F56="Yellow", B56*1.1, TRUE, B56*1.3)</f>
        <v>65</v>
      </c>
    </row>
    <row r="57" spans="1:8" x14ac:dyDescent="0.3">
      <c r="A57" s="1" t="s">
        <v>53</v>
      </c>
      <c r="B57" s="15">
        <v>51</v>
      </c>
      <c r="C57" s="15">
        <v>51</v>
      </c>
      <c r="D57" s="16">
        <v>771</v>
      </c>
      <c r="E57" s="3">
        <v>1.2095238095238094</v>
      </c>
      <c r="F57" s="1" t="str" cm="1">
        <f t="array" ref="F57">_xlfn.IFS( OR(E57&gt;5, B57&gt;100, C57&gt;120, D57&gt;1500), "Green", OR(E57&gt;4, B57&gt;80, C57&gt;100, D57&gt;1000), "Yellow", TRUE, "Red")</f>
        <v>Red</v>
      </c>
      <c r="G57" s="1" cm="1">
        <f t="array" ref="G57">_xlfn.IFS( F57="Green", D57*0.1, F57="Yellow", D57*0.05, TRUE, 0)</f>
        <v>0</v>
      </c>
      <c r="H57" s="13" cm="1">
        <f t="array" ref="H57">_xlfn.IFS( F57="Green", B57, F57="Yellow", B57*1.1, TRUE, B57*1.3)</f>
        <v>66.3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EE386-63F7-4983-B0BD-BE54A8BBE8DF}">
  <dimension ref="A1:D872"/>
  <sheetViews>
    <sheetView workbookViewId="0">
      <selection activeCell="C18" sqref="C18"/>
    </sheetView>
  </sheetViews>
  <sheetFormatPr defaultRowHeight="14.4" x14ac:dyDescent="0.3"/>
  <cols>
    <col min="1" max="1" width="14.77734375" bestFit="1" customWidth="1"/>
    <col min="2" max="2" width="21" bestFit="1" customWidth="1"/>
    <col min="3" max="3" width="25.21875" bestFit="1" customWidth="1"/>
    <col min="4" max="4" width="31.33203125" bestFit="1" customWidth="1"/>
  </cols>
  <sheetData>
    <row r="1" spans="1:4" x14ac:dyDescent="0.3">
      <c r="A1" s="11" t="s">
        <v>59</v>
      </c>
      <c r="B1" s="1" t="s">
        <v>942</v>
      </c>
      <c r="C1" s="1" t="s">
        <v>943</v>
      </c>
      <c r="D1" s="12" t="s">
        <v>944</v>
      </c>
    </row>
    <row r="2" spans="1:4" x14ac:dyDescent="0.3">
      <c r="A2" s="1" t="s">
        <v>887</v>
      </c>
      <c r="B2" s="3">
        <v>2</v>
      </c>
      <c r="C2" s="3">
        <v>2.8</v>
      </c>
      <c r="D2" s="1" t="str">
        <f>IF( B2&lt;1, "gündəlik bir gedişə 30% endirim", IF(B2&gt;1.5, "10 mildən çox sifarişə 20 faiz endirim", IF(C2&lt;7, "10 mildən çox sifarişə 30 faiz endirim", "tətbiq edilmir") ))</f>
        <v>10 mildən çox sifarişə 20 faiz endirim</v>
      </c>
    </row>
    <row r="3" spans="1:4" x14ac:dyDescent="0.3">
      <c r="A3" s="1" t="s">
        <v>425</v>
      </c>
      <c r="B3" s="3">
        <v>1</v>
      </c>
      <c r="C3" s="3">
        <v>7.125</v>
      </c>
      <c r="D3" s="1" t="str">
        <f t="shared" ref="D3:D66" si="0">IF( B3&lt;1, "gündəlik bir gedişə 30% endirim", IF(B3&gt;1.5, "10 mildən çox sifarişə 20 faiz endirim", IF(C3&lt;7, "10 mildən çox sifarişə 30 faiz endirim", "tətbiq edilmir") ))</f>
        <v>tətbiq edilmir</v>
      </c>
    </row>
    <row r="4" spans="1:4" x14ac:dyDescent="0.3">
      <c r="A4" s="1" t="s">
        <v>540</v>
      </c>
      <c r="B4" s="3">
        <v>1.5</v>
      </c>
      <c r="C4" s="3">
        <v>14.349999999999998</v>
      </c>
      <c r="D4" s="1" t="str">
        <f t="shared" si="0"/>
        <v>tətbiq edilmir</v>
      </c>
    </row>
    <row r="5" spans="1:4" x14ac:dyDescent="0.3">
      <c r="A5" s="1" t="s">
        <v>63</v>
      </c>
      <c r="B5" s="3">
        <v>1.2</v>
      </c>
      <c r="C5" s="3">
        <v>6.6400000000000006</v>
      </c>
      <c r="D5" s="1" t="str">
        <f t="shared" si="0"/>
        <v>10 mildən çox sifarişə 30 faiz endirim</v>
      </c>
    </row>
    <row r="6" spans="1:4" x14ac:dyDescent="0.3">
      <c r="A6" s="1" t="s">
        <v>611</v>
      </c>
      <c r="B6" s="3">
        <v>1.5</v>
      </c>
      <c r="C6" s="3">
        <v>11.649999999999999</v>
      </c>
      <c r="D6" s="1" t="str">
        <f t="shared" si="0"/>
        <v>tətbiq edilmir</v>
      </c>
    </row>
    <row r="7" spans="1:4" x14ac:dyDescent="0.3">
      <c r="A7" s="1" t="s">
        <v>514</v>
      </c>
      <c r="B7" s="3">
        <v>2</v>
      </c>
      <c r="C7" s="3">
        <v>6.3999999999999995</v>
      </c>
      <c r="D7" s="1" t="str">
        <f t="shared" si="0"/>
        <v>10 mildən çox sifarişə 20 faiz endirim</v>
      </c>
    </row>
    <row r="8" spans="1:4" x14ac:dyDescent="0.3">
      <c r="A8" s="1" t="s">
        <v>541</v>
      </c>
      <c r="B8" s="3">
        <v>1.25</v>
      </c>
      <c r="C8" s="3">
        <v>2.4500000000000002</v>
      </c>
      <c r="D8" s="1" t="str">
        <f t="shared" si="0"/>
        <v>10 mildən çox sifarişə 30 faiz endirim</v>
      </c>
    </row>
    <row r="9" spans="1:4" x14ac:dyDescent="0.3">
      <c r="A9" s="1" t="s">
        <v>208</v>
      </c>
      <c r="B9" s="3">
        <v>1.4</v>
      </c>
      <c r="C9" s="3">
        <v>7.5400000000000009</v>
      </c>
      <c r="D9" s="1" t="str">
        <f t="shared" si="0"/>
        <v>tətbiq edilmir</v>
      </c>
    </row>
    <row r="10" spans="1:4" x14ac:dyDescent="0.3">
      <c r="A10" s="1" t="s">
        <v>515</v>
      </c>
      <c r="B10" s="3">
        <v>1.2</v>
      </c>
      <c r="C10" s="3">
        <v>5.1400000000000006</v>
      </c>
      <c r="D10" s="1" t="str">
        <f t="shared" si="0"/>
        <v>10 mildən çox sifarişə 30 faiz endirim</v>
      </c>
    </row>
    <row r="11" spans="1:4" x14ac:dyDescent="0.3">
      <c r="A11" s="1" t="s">
        <v>474</v>
      </c>
      <c r="B11" s="3">
        <v>1.8333333333333333</v>
      </c>
      <c r="C11" s="3">
        <v>5.4833333333333343</v>
      </c>
      <c r="D11" s="1" t="str">
        <f t="shared" si="0"/>
        <v>10 mildən çox sifarişə 20 faiz endirim</v>
      </c>
    </row>
    <row r="12" spans="1:4" x14ac:dyDescent="0.3">
      <c r="A12" s="1" t="s">
        <v>822</v>
      </c>
      <c r="B12" s="3">
        <v>1.3333333333333333</v>
      </c>
      <c r="C12" s="3">
        <v>8.7999999999999989</v>
      </c>
      <c r="D12" s="1" t="str">
        <f t="shared" si="0"/>
        <v>tətbiq edilmir</v>
      </c>
    </row>
    <row r="13" spans="1:4" x14ac:dyDescent="0.3">
      <c r="A13" s="1" t="s">
        <v>426</v>
      </c>
      <c r="B13" s="3">
        <v>1</v>
      </c>
      <c r="C13" s="3">
        <v>5.7249999999999996</v>
      </c>
      <c r="D13" s="1" t="str">
        <f t="shared" si="0"/>
        <v>10 mildən çox sifarişə 30 faiz endirim</v>
      </c>
    </row>
    <row r="14" spans="1:4" x14ac:dyDescent="0.3">
      <c r="A14" s="1" t="s">
        <v>758</v>
      </c>
      <c r="B14" s="3">
        <v>1</v>
      </c>
      <c r="C14" s="3">
        <v>3.2666666666666662</v>
      </c>
      <c r="D14" s="1" t="str">
        <f t="shared" si="0"/>
        <v>10 mildən çox sifarişə 30 faiz endirim</v>
      </c>
    </row>
    <row r="15" spans="1:4" x14ac:dyDescent="0.3">
      <c r="A15" s="1" t="s">
        <v>516</v>
      </c>
      <c r="B15" s="3">
        <v>1.1666666666666667</v>
      </c>
      <c r="C15" s="3">
        <v>5.6000000000000005</v>
      </c>
      <c r="D15" s="1" t="str">
        <f t="shared" si="0"/>
        <v>10 mildən çox sifarişə 30 faiz endirim</v>
      </c>
    </row>
    <row r="16" spans="1:4" x14ac:dyDescent="0.3">
      <c r="A16" s="1" t="s">
        <v>427</v>
      </c>
      <c r="B16" s="3">
        <v>1.5</v>
      </c>
      <c r="C16" s="3">
        <v>10.049999999999999</v>
      </c>
      <c r="D16" s="1" t="str">
        <f t="shared" si="0"/>
        <v>tətbiq edilmir</v>
      </c>
    </row>
    <row r="17" spans="1:4" x14ac:dyDescent="0.3">
      <c r="A17" s="1" t="s">
        <v>475</v>
      </c>
      <c r="B17" s="3">
        <v>1.2857142857142858</v>
      </c>
      <c r="C17" s="3">
        <v>5.9142857142857155</v>
      </c>
      <c r="D17" s="1" t="str">
        <f t="shared" si="0"/>
        <v>10 mildən çox sifarişə 30 faiz endirim</v>
      </c>
    </row>
    <row r="18" spans="1:4" x14ac:dyDescent="0.3">
      <c r="A18" s="1" t="s">
        <v>110</v>
      </c>
      <c r="B18" s="3">
        <v>1</v>
      </c>
      <c r="C18" s="3">
        <v>6.0250000000000004</v>
      </c>
      <c r="D18" s="1" t="str">
        <f t="shared" si="0"/>
        <v>10 mildən çox sifarişə 30 faiz endirim</v>
      </c>
    </row>
    <row r="19" spans="1:4" x14ac:dyDescent="0.3">
      <c r="A19" s="1" t="s">
        <v>717</v>
      </c>
      <c r="B19" s="3">
        <v>1.3333333333333333</v>
      </c>
      <c r="C19" s="3">
        <v>1.5666666666666664</v>
      </c>
      <c r="D19" s="1" t="str">
        <f t="shared" si="0"/>
        <v>10 mildən çox sifarişə 30 faiz endirim</v>
      </c>
    </row>
    <row r="20" spans="1:4" x14ac:dyDescent="0.3">
      <c r="A20" s="1" t="s">
        <v>739</v>
      </c>
      <c r="B20" s="3">
        <v>1</v>
      </c>
      <c r="C20" s="3">
        <v>10.050000000000001</v>
      </c>
      <c r="D20" s="1" t="str">
        <f t="shared" si="0"/>
        <v>tətbiq edilmir</v>
      </c>
    </row>
    <row r="21" spans="1:4" x14ac:dyDescent="0.3">
      <c r="A21" s="1" t="s">
        <v>209</v>
      </c>
      <c r="B21" s="3">
        <v>2.4</v>
      </c>
      <c r="C21" s="3">
        <v>4.0600000000000005</v>
      </c>
      <c r="D21" s="1" t="str">
        <f t="shared" si="0"/>
        <v>10 mildən çox sifarişə 20 faiz endirim</v>
      </c>
    </row>
    <row r="22" spans="1:4" x14ac:dyDescent="0.3">
      <c r="A22" s="1" t="s">
        <v>111</v>
      </c>
      <c r="B22" s="3">
        <v>2</v>
      </c>
      <c r="C22" s="3">
        <v>3.6749999999999998</v>
      </c>
      <c r="D22" s="1" t="str">
        <f t="shared" si="0"/>
        <v>10 mildən çox sifarişə 20 faiz endirim</v>
      </c>
    </row>
    <row r="23" spans="1:4" x14ac:dyDescent="0.3">
      <c r="A23" s="1" t="s">
        <v>542</v>
      </c>
      <c r="B23" s="3">
        <v>1.25</v>
      </c>
      <c r="C23" s="3">
        <v>3.7749999999999995</v>
      </c>
      <c r="D23" s="1" t="str">
        <f t="shared" si="0"/>
        <v>10 mildən çox sifarişə 30 faiz endirim</v>
      </c>
    </row>
    <row r="24" spans="1:4" x14ac:dyDescent="0.3">
      <c r="A24" s="1" t="s">
        <v>543</v>
      </c>
      <c r="B24" s="3">
        <v>1</v>
      </c>
      <c r="C24" s="3">
        <v>1.95</v>
      </c>
      <c r="D24" s="1" t="str">
        <f t="shared" si="0"/>
        <v>10 mildən çox sifarişə 30 faiz endirim</v>
      </c>
    </row>
    <row r="25" spans="1:4" x14ac:dyDescent="0.3">
      <c r="A25" s="1" t="s">
        <v>317</v>
      </c>
      <c r="B25" s="3">
        <v>1.25</v>
      </c>
      <c r="C25" s="3">
        <v>7.875</v>
      </c>
      <c r="D25" s="1" t="str">
        <f t="shared" si="0"/>
        <v>tətbiq edilmir</v>
      </c>
    </row>
    <row r="26" spans="1:4" x14ac:dyDescent="0.3">
      <c r="A26" s="1" t="s">
        <v>259</v>
      </c>
      <c r="B26" s="3">
        <v>1.25</v>
      </c>
      <c r="C26" s="3">
        <v>2.2250000000000001</v>
      </c>
      <c r="D26" s="1" t="str">
        <f t="shared" si="0"/>
        <v>10 mildən çox sifarişə 30 faiz endirim</v>
      </c>
    </row>
    <row r="27" spans="1:4" x14ac:dyDescent="0.3">
      <c r="A27" s="1" t="s">
        <v>517</v>
      </c>
      <c r="B27" s="3">
        <v>2</v>
      </c>
      <c r="C27" s="3">
        <v>4.2</v>
      </c>
      <c r="D27" s="1" t="str">
        <f t="shared" si="0"/>
        <v>10 mildən çox sifarişə 20 faiz endirim</v>
      </c>
    </row>
    <row r="28" spans="1:4" x14ac:dyDescent="0.3">
      <c r="A28" s="1" t="s">
        <v>379</v>
      </c>
      <c r="B28" s="3">
        <v>1.4</v>
      </c>
      <c r="C28" s="3">
        <v>3.18</v>
      </c>
      <c r="D28" s="1" t="str">
        <f t="shared" si="0"/>
        <v>10 mildən çox sifarişə 30 faiz endirim</v>
      </c>
    </row>
    <row r="29" spans="1:4" x14ac:dyDescent="0.3">
      <c r="A29" s="1" t="s">
        <v>792</v>
      </c>
      <c r="B29" s="3">
        <v>1.2</v>
      </c>
      <c r="C29" s="3">
        <v>6.0600000000000005</v>
      </c>
      <c r="D29" s="1" t="str">
        <f t="shared" si="0"/>
        <v>10 mildən çox sifarişə 30 faiz endirim</v>
      </c>
    </row>
    <row r="30" spans="1:4" x14ac:dyDescent="0.3">
      <c r="A30" s="1" t="s">
        <v>612</v>
      </c>
      <c r="B30" s="3">
        <v>1.3333333333333333</v>
      </c>
      <c r="C30" s="3">
        <v>8.9666666666666668</v>
      </c>
      <c r="D30" s="1" t="str">
        <f t="shared" si="0"/>
        <v>tətbiq edilmir</v>
      </c>
    </row>
    <row r="31" spans="1:4" x14ac:dyDescent="0.3">
      <c r="A31" s="1" t="s">
        <v>544</v>
      </c>
      <c r="B31" s="3">
        <v>1.5</v>
      </c>
      <c r="C31" s="3">
        <v>5.7249999999999996</v>
      </c>
      <c r="D31" s="1" t="str">
        <f t="shared" si="0"/>
        <v>10 mildən çox sifarişə 30 faiz endirim</v>
      </c>
    </row>
    <row r="32" spans="1:4" x14ac:dyDescent="0.3">
      <c r="A32" s="1" t="s">
        <v>929</v>
      </c>
      <c r="B32" s="3">
        <v>1</v>
      </c>
      <c r="C32" s="3">
        <v>1.3</v>
      </c>
      <c r="D32" s="1" t="str">
        <f t="shared" si="0"/>
        <v>10 mildən çox sifarişə 30 faiz endirim</v>
      </c>
    </row>
    <row r="33" spans="1:4" x14ac:dyDescent="0.3">
      <c r="A33" s="1" t="s">
        <v>428</v>
      </c>
      <c r="B33" s="3">
        <v>1.4</v>
      </c>
      <c r="C33" s="3">
        <v>10.88</v>
      </c>
      <c r="D33" s="1" t="str">
        <f t="shared" si="0"/>
        <v>tətbiq edilmir</v>
      </c>
    </row>
    <row r="34" spans="1:4" x14ac:dyDescent="0.3">
      <c r="A34" s="1" t="s">
        <v>613</v>
      </c>
      <c r="B34" s="3">
        <v>1</v>
      </c>
      <c r="C34" s="3">
        <v>9.2999999999999989</v>
      </c>
      <c r="D34" s="1" t="str">
        <f t="shared" si="0"/>
        <v>tətbiq edilmir</v>
      </c>
    </row>
    <row r="35" spans="1:4" x14ac:dyDescent="0.3">
      <c r="A35" s="1" t="s">
        <v>614</v>
      </c>
      <c r="B35" s="3">
        <v>1</v>
      </c>
      <c r="C35" s="3">
        <v>2.1666666666666665</v>
      </c>
      <c r="D35" s="1" t="str">
        <f t="shared" si="0"/>
        <v>10 mildən çox sifarişə 30 faiz endirim</v>
      </c>
    </row>
    <row r="36" spans="1:4" x14ac:dyDescent="0.3">
      <c r="A36" s="1" t="s">
        <v>545</v>
      </c>
      <c r="B36" s="3">
        <v>1.3333333333333333</v>
      </c>
      <c r="C36" s="3">
        <v>8.8333333333333339</v>
      </c>
      <c r="D36" s="1" t="str">
        <f t="shared" si="0"/>
        <v>tətbiq edilmir</v>
      </c>
    </row>
    <row r="37" spans="1:4" x14ac:dyDescent="0.3">
      <c r="A37" s="1" t="s">
        <v>210</v>
      </c>
      <c r="B37" s="3">
        <v>1.3333333333333333</v>
      </c>
      <c r="C37" s="3">
        <v>9.8833333333333346</v>
      </c>
      <c r="D37" s="1" t="str">
        <f t="shared" si="0"/>
        <v>tətbiq edilmir</v>
      </c>
    </row>
    <row r="38" spans="1:4" x14ac:dyDescent="0.3">
      <c r="A38" s="1" t="s">
        <v>805</v>
      </c>
      <c r="B38" s="3">
        <v>1</v>
      </c>
      <c r="C38" s="3">
        <v>2.2000000000000002</v>
      </c>
      <c r="D38" s="1" t="str">
        <f t="shared" si="0"/>
        <v>10 mildən çox sifarişə 30 faiz endirim</v>
      </c>
    </row>
    <row r="39" spans="1:4" x14ac:dyDescent="0.3">
      <c r="A39" s="1" t="s">
        <v>589</v>
      </c>
      <c r="B39" s="3">
        <v>1.3333333333333333</v>
      </c>
      <c r="C39" s="3">
        <v>4.8</v>
      </c>
      <c r="D39" s="1" t="str">
        <f t="shared" si="0"/>
        <v>10 mildən çox sifarişə 30 faiz endirim</v>
      </c>
    </row>
    <row r="40" spans="1:4" x14ac:dyDescent="0.3">
      <c r="A40" s="1" t="s">
        <v>64</v>
      </c>
      <c r="B40" s="3">
        <v>1.3333333333333333</v>
      </c>
      <c r="C40" s="3">
        <v>3.5333333333333332</v>
      </c>
      <c r="D40" s="1" t="str">
        <f t="shared" si="0"/>
        <v>10 mildən çox sifarişə 30 faiz endirim</v>
      </c>
    </row>
    <row r="41" spans="1:4" x14ac:dyDescent="0.3">
      <c r="A41" s="1" t="s">
        <v>778</v>
      </c>
      <c r="B41" s="3">
        <v>1</v>
      </c>
      <c r="C41" s="3">
        <v>5.6</v>
      </c>
      <c r="D41" s="1" t="str">
        <f t="shared" si="0"/>
        <v>10 mildən çox sifarişə 30 faiz endirim</v>
      </c>
    </row>
    <row r="42" spans="1:4" x14ac:dyDescent="0.3">
      <c r="A42" s="1" t="s">
        <v>211</v>
      </c>
      <c r="B42" s="3">
        <v>1</v>
      </c>
      <c r="C42" s="3">
        <v>0.67500000000000004</v>
      </c>
      <c r="D42" s="1" t="str">
        <f t="shared" si="0"/>
        <v>10 mildən çox sifarişə 30 faiz endirim</v>
      </c>
    </row>
    <row r="43" spans="1:4" x14ac:dyDescent="0.3">
      <c r="A43" s="1" t="s">
        <v>759</v>
      </c>
      <c r="B43" s="3">
        <v>1</v>
      </c>
      <c r="C43" s="3">
        <v>1.86</v>
      </c>
      <c r="D43" s="1" t="str">
        <f t="shared" si="0"/>
        <v>10 mildən çox sifarişə 30 faiz endirim</v>
      </c>
    </row>
    <row r="44" spans="1:4" x14ac:dyDescent="0.3">
      <c r="A44" s="1" t="s">
        <v>65</v>
      </c>
      <c r="B44" s="3">
        <v>1.1666666666666667</v>
      </c>
      <c r="C44" s="3">
        <v>2.5499999999999998</v>
      </c>
      <c r="D44" s="1" t="str">
        <f t="shared" si="0"/>
        <v>10 mildən çox sifarişə 30 faiz endirim</v>
      </c>
    </row>
    <row r="45" spans="1:4" x14ac:dyDescent="0.3">
      <c r="A45" s="1" t="s">
        <v>760</v>
      </c>
      <c r="B45" s="3">
        <v>2.6666666666666665</v>
      </c>
      <c r="C45" s="3">
        <v>16.599999999999998</v>
      </c>
      <c r="D45" s="1" t="str">
        <f t="shared" si="0"/>
        <v>10 mildən çox sifarişə 20 faiz endirim</v>
      </c>
    </row>
    <row r="46" spans="1:4" x14ac:dyDescent="0.3">
      <c r="A46" s="1" t="s">
        <v>806</v>
      </c>
      <c r="B46" s="3">
        <v>1</v>
      </c>
      <c r="C46" s="3">
        <v>6.5400000000000009</v>
      </c>
      <c r="D46" s="1" t="str">
        <f t="shared" si="0"/>
        <v>10 mildən çox sifarişə 30 faiz endirim</v>
      </c>
    </row>
    <row r="47" spans="1:4" x14ac:dyDescent="0.3">
      <c r="A47" s="1" t="s">
        <v>212</v>
      </c>
      <c r="B47" s="3">
        <v>1</v>
      </c>
      <c r="C47" s="3">
        <v>7.4</v>
      </c>
      <c r="D47" s="1" t="str">
        <f t="shared" si="0"/>
        <v>tətbiq edilmir</v>
      </c>
    </row>
    <row r="48" spans="1:4" x14ac:dyDescent="0.3">
      <c r="A48" s="1" t="s">
        <v>546</v>
      </c>
      <c r="B48" s="3">
        <v>1.25</v>
      </c>
      <c r="C48" s="3">
        <v>5.1000000000000005</v>
      </c>
      <c r="D48" s="1" t="str">
        <f t="shared" si="0"/>
        <v>10 mildən çox sifarişə 30 faiz endirim</v>
      </c>
    </row>
    <row r="49" spans="1:4" x14ac:dyDescent="0.3">
      <c r="A49" s="1" t="s">
        <v>687</v>
      </c>
      <c r="B49" s="3">
        <v>1.5</v>
      </c>
      <c r="C49" s="3">
        <v>11.75</v>
      </c>
      <c r="D49" s="1" t="str">
        <f t="shared" si="0"/>
        <v>tətbiq edilmir</v>
      </c>
    </row>
    <row r="50" spans="1:4" x14ac:dyDescent="0.3">
      <c r="A50" s="1" t="s">
        <v>318</v>
      </c>
      <c r="B50" s="3">
        <v>1.4</v>
      </c>
      <c r="C50" s="3">
        <v>5.5</v>
      </c>
      <c r="D50" s="1" t="str">
        <f t="shared" si="0"/>
        <v>10 mildən çox sifarişə 30 faiz endirim</v>
      </c>
    </row>
    <row r="51" spans="1:4" x14ac:dyDescent="0.3">
      <c r="A51" s="1" t="s">
        <v>590</v>
      </c>
      <c r="B51" s="3">
        <v>1</v>
      </c>
      <c r="C51" s="3">
        <v>3.3499999999999996</v>
      </c>
      <c r="D51" s="1" t="str">
        <f t="shared" si="0"/>
        <v>10 mildən çox sifarişə 30 faiz endirim</v>
      </c>
    </row>
    <row r="52" spans="1:4" x14ac:dyDescent="0.3">
      <c r="A52" s="1" t="s">
        <v>807</v>
      </c>
      <c r="B52" s="3">
        <v>1</v>
      </c>
      <c r="C52" s="3">
        <v>2.1</v>
      </c>
      <c r="D52" s="1" t="str">
        <f t="shared" si="0"/>
        <v>10 mildən çox sifarişə 30 faiz endirim</v>
      </c>
    </row>
    <row r="53" spans="1:4" x14ac:dyDescent="0.3">
      <c r="A53" s="1" t="s">
        <v>213</v>
      </c>
      <c r="B53" s="3">
        <v>1.5</v>
      </c>
      <c r="C53" s="3">
        <v>5.3999999999999995</v>
      </c>
      <c r="D53" s="1" t="str">
        <f t="shared" si="0"/>
        <v>10 mildən çox sifarişə 30 faiz endirim</v>
      </c>
    </row>
    <row r="54" spans="1:4" x14ac:dyDescent="0.3">
      <c r="A54" s="1" t="s">
        <v>260</v>
      </c>
      <c r="B54" s="3">
        <v>1.25</v>
      </c>
      <c r="C54" s="3">
        <v>8.125</v>
      </c>
      <c r="D54" s="1" t="str">
        <f t="shared" si="0"/>
        <v>tətbiq edilmir</v>
      </c>
    </row>
    <row r="55" spans="1:4" x14ac:dyDescent="0.3">
      <c r="A55" s="1" t="s">
        <v>112</v>
      </c>
      <c r="B55" s="3">
        <v>2</v>
      </c>
      <c r="C55" s="3">
        <v>2.4500000000000002</v>
      </c>
      <c r="D55" s="1" t="str">
        <f t="shared" si="0"/>
        <v>10 mildən çox sifarişə 20 faiz endirim</v>
      </c>
    </row>
    <row r="56" spans="1:4" x14ac:dyDescent="0.3">
      <c r="A56" s="1" t="s">
        <v>591</v>
      </c>
      <c r="B56" s="3">
        <v>1.4</v>
      </c>
      <c r="C56" s="3">
        <v>5.76</v>
      </c>
      <c r="D56" s="1" t="str">
        <f t="shared" si="0"/>
        <v>10 mildən çox sifarişə 30 faiz endirim</v>
      </c>
    </row>
    <row r="57" spans="1:4" x14ac:dyDescent="0.3">
      <c r="A57" s="1" t="s">
        <v>652</v>
      </c>
      <c r="B57" s="3">
        <v>1</v>
      </c>
      <c r="C57" s="3">
        <v>2.2749999999999999</v>
      </c>
      <c r="D57" s="1" t="str">
        <f t="shared" si="0"/>
        <v>10 mildən çox sifarişə 30 faiz endirim</v>
      </c>
    </row>
    <row r="58" spans="1:4" x14ac:dyDescent="0.3">
      <c r="A58" s="1" t="s">
        <v>698</v>
      </c>
      <c r="B58" s="3">
        <v>1</v>
      </c>
      <c r="C58" s="3">
        <v>4.9000000000000004</v>
      </c>
      <c r="D58" s="1" t="str">
        <f t="shared" si="0"/>
        <v>10 mildən çox sifarişə 30 faiz endirim</v>
      </c>
    </row>
    <row r="59" spans="1:4" x14ac:dyDescent="0.3">
      <c r="A59" s="1" t="s">
        <v>261</v>
      </c>
      <c r="B59" s="3">
        <v>2.3333333333333335</v>
      </c>
      <c r="C59" s="3">
        <v>9.3333333333333339</v>
      </c>
      <c r="D59" s="1" t="str">
        <f t="shared" si="0"/>
        <v>10 mildən çox sifarişə 20 faiz endirim</v>
      </c>
    </row>
    <row r="60" spans="1:4" x14ac:dyDescent="0.3">
      <c r="A60" s="1" t="s">
        <v>838</v>
      </c>
      <c r="B60" s="3">
        <v>1</v>
      </c>
      <c r="C60" s="3">
        <v>2.78</v>
      </c>
      <c r="D60" s="1" t="str">
        <f t="shared" si="0"/>
        <v>10 mildən çox sifarişə 30 faiz endirim</v>
      </c>
    </row>
    <row r="61" spans="1:4" x14ac:dyDescent="0.3">
      <c r="A61" s="1" t="s">
        <v>615</v>
      </c>
      <c r="B61" s="3">
        <v>1</v>
      </c>
      <c r="C61" s="3">
        <v>3.7</v>
      </c>
      <c r="D61" s="1" t="str">
        <f t="shared" si="0"/>
        <v>10 mildən çox sifarişə 30 faiz endirim</v>
      </c>
    </row>
    <row r="62" spans="1:4" x14ac:dyDescent="0.3">
      <c r="A62" s="1" t="s">
        <v>699</v>
      </c>
      <c r="B62" s="3">
        <v>1</v>
      </c>
      <c r="C62" s="3">
        <v>7.1333333333333329</v>
      </c>
      <c r="D62" s="1" t="str">
        <f t="shared" si="0"/>
        <v>tətbiq edilmir</v>
      </c>
    </row>
    <row r="63" spans="1:4" x14ac:dyDescent="0.3">
      <c r="A63" s="1" t="s">
        <v>616</v>
      </c>
      <c r="B63" s="3">
        <v>1.4285714285714286</v>
      </c>
      <c r="C63" s="3">
        <v>10.157142857142857</v>
      </c>
      <c r="D63" s="1" t="str">
        <f t="shared" si="0"/>
        <v>tətbiq edilmir</v>
      </c>
    </row>
    <row r="64" spans="1:4" x14ac:dyDescent="0.3">
      <c r="A64" s="1" t="s">
        <v>833</v>
      </c>
      <c r="B64" s="3">
        <v>1.6</v>
      </c>
      <c r="C64" s="3">
        <v>3.1</v>
      </c>
      <c r="D64" s="1" t="str">
        <f t="shared" si="0"/>
        <v>10 mildən çox sifarişə 20 faiz endirim</v>
      </c>
    </row>
    <row r="65" spans="1:4" x14ac:dyDescent="0.3">
      <c r="A65" s="1" t="s">
        <v>877</v>
      </c>
      <c r="B65" s="3">
        <v>1.5</v>
      </c>
      <c r="C65" s="3">
        <v>10.3</v>
      </c>
      <c r="D65" s="1" t="str">
        <f t="shared" si="0"/>
        <v>tətbiq edilmir</v>
      </c>
    </row>
    <row r="66" spans="1:4" x14ac:dyDescent="0.3">
      <c r="A66" s="1" t="s">
        <v>262</v>
      </c>
      <c r="B66" s="3">
        <v>1</v>
      </c>
      <c r="C66" s="3">
        <v>5.9</v>
      </c>
      <c r="D66" s="1" t="str">
        <f t="shared" si="0"/>
        <v>10 mildən çox sifarişə 30 faiz endirim</v>
      </c>
    </row>
    <row r="67" spans="1:4" x14ac:dyDescent="0.3">
      <c r="A67" s="1" t="s">
        <v>113</v>
      </c>
      <c r="B67" s="3">
        <v>1.3333333333333333</v>
      </c>
      <c r="C67" s="3">
        <v>4.0166666666666666</v>
      </c>
      <c r="D67" s="1" t="str">
        <f t="shared" ref="D67:D130" si="1">IF( B67&lt;1, "gündəlik bir gedişə 30% endirim", IF(B67&gt;1.5, "10 mildən çox sifarişə 20 faiz endirim", IF(C67&lt;7, "10 mildən çox sifarişə 30 faiz endirim", "tətbiq edilmir") ))</f>
        <v>10 mildən çox sifarişə 30 faiz endirim</v>
      </c>
    </row>
    <row r="68" spans="1:4" x14ac:dyDescent="0.3">
      <c r="A68" s="1" t="s">
        <v>319</v>
      </c>
      <c r="B68" s="3">
        <v>2</v>
      </c>
      <c r="C68" s="3">
        <v>7.5750000000000002</v>
      </c>
      <c r="D68" s="1" t="str">
        <f t="shared" si="1"/>
        <v>10 mildən çox sifarişə 20 faiz endirim</v>
      </c>
    </row>
    <row r="69" spans="1:4" x14ac:dyDescent="0.3">
      <c r="A69" s="1" t="s">
        <v>808</v>
      </c>
      <c r="B69" s="3">
        <v>1</v>
      </c>
      <c r="C69" s="3">
        <v>4.3599999999999994</v>
      </c>
      <c r="D69" s="1" t="str">
        <f t="shared" si="1"/>
        <v>10 mildən çox sifarişə 30 faiz endirim</v>
      </c>
    </row>
    <row r="70" spans="1:4" x14ac:dyDescent="0.3">
      <c r="A70" s="1" t="s">
        <v>214</v>
      </c>
      <c r="B70" s="3">
        <v>2.6666666666666665</v>
      </c>
      <c r="C70" s="3">
        <v>7.0666666666666664</v>
      </c>
      <c r="D70" s="1" t="str">
        <f t="shared" si="1"/>
        <v>10 mildən çox sifarişə 20 faiz endirim</v>
      </c>
    </row>
    <row r="71" spans="1:4" x14ac:dyDescent="0.3">
      <c r="A71" s="1" t="s">
        <v>114</v>
      </c>
      <c r="B71" s="3">
        <v>1.3333333333333333</v>
      </c>
      <c r="C71" s="3">
        <v>7.4333333333333327</v>
      </c>
      <c r="D71" s="1" t="str">
        <f t="shared" si="1"/>
        <v>tətbiq edilmir</v>
      </c>
    </row>
    <row r="72" spans="1:4" x14ac:dyDescent="0.3">
      <c r="A72" s="1" t="s">
        <v>809</v>
      </c>
      <c r="B72" s="3">
        <v>1.25</v>
      </c>
      <c r="C72" s="3">
        <v>1.6</v>
      </c>
      <c r="D72" s="1" t="str">
        <f t="shared" si="1"/>
        <v>10 mildən çox sifarişə 30 faiz endirim</v>
      </c>
    </row>
    <row r="73" spans="1:4" x14ac:dyDescent="0.3">
      <c r="A73" s="1" t="s">
        <v>263</v>
      </c>
      <c r="B73" s="3">
        <v>1.5</v>
      </c>
      <c r="C73" s="3">
        <v>3.35</v>
      </c>
      <c r="D73" s="1" t="str">
        <f t="shared" si="1"/>
        <v>10 mildən çox sifarişə 30 faiz endirim</v>
      </c>
    </row>
    <row r="74" spans="1:4" x14ac:dyDescent="0.3">
      <c r="A74" s="1" t="s">
        <v>547</v>
      </c>
      <c r="B74" s="3">
        <v>2.5</v>
      </c>
      <c r="C74" s="3">
        <v>9.8249999999999993</v>
      </c>
      <c r="D74" s="1" t="str">
        <f t="shared" si="1"/>
        <v>10 mildən çox sifarişə 20 faiz endirim</v>
      </c>
    </row>
    <row r="75" spans="1:4" x14ac:dyDescent="0.3">
      <c r="A75" s="1" t="s">
        <v>718</v>
      </c>
      <c r="B75" s="3">
        <v>1.6666666666666667</v>
      </c>
      <c r="C75" s="3">
        <v>16.733333333333331</v>
      </c>
      <c r="D75" s="1" t="str">
        <f t="shared" si="1"/>
        <v>10 mildən çox sifarişə 20 faiz endirim</v>
      </c>
    </row>
    <row r="76" spans="1:4" x14ac:dyDescent="0.3">
      <c r="A76" s="1" t="s">
        <v>548</v>
      </c>
      <c r="B76" s="3">
        <v>1.3333333333333333</v>
      </c>
      <c r="C76" s="3">
        <v>7.3000000000000007</v>
      </c>
      <c r="D76" s="1" t="str">
        <f t="shared" si="1"/>
        <v>tətbiq edilmir</v>
      </c>
    </row>
    <row r="77" spans="1:4" x14ac:dyDescent="0.3">
      <c r="A77" s="1" t="s">
        <v>476</v>
      </c>
      <c r="B77" s="3">
        <v>1.3333333333333333</v>
      </c>
      <c r="C77" s="3">
        <v>2.3166666666666664</v>
      </c>
      <c r="D77" s="1" t="str">
        <f t="shared" si="1"/>
        <v>10 mildən çox sifarişə 30 faiz endirim</v>
      </c>
    </row>
    <row r="78" spans="1:4" x14ac:dyDescent="0.3">
      <c r="A78" s="1" t="s">
        <v>320</v>
      </c>
      <c r="B78" s="3">
        <v>2.6666666666666665</v>
      </c>
      <c r="C78" s="3">
        <v>12.166666666666666</v>
      </c>
      <c r="D78" s="1" t="str">
        <f t="shared" si="1"/>
        <v>10 mildən çox sifarişə 20 faiz endirim</v>
      </c>
    </row>
    <row r="79" spans="1:4" x14ac:dyDescent="0.3">
      <c r="A79" s="1" t="s">
        <v>429</v>
      </c>
      <c r="B79" s="3">
        <v>1</v>
      </c>
      <c r="C79" s="3">
        <v>2.7333333333333329</v>
      </c>
      <c r="D79" s="1" t="str">
        <f t="shared" si="1"/>
        <v>10 mildən çox sifarişə 30 faiz endirim</v>
      </c>
    </row>
    <row r="80" spans="1:4" x14ac:dyDescent="0.3">
      <c r="A80" s="1" t="s">
        <v>719</v>
      </c>
      <c r="B80" s="3">
        <v>1.5</v>
      </c>
      <c r="C80" s="3">
        <v>3.65</v>
      </c>
      <c r="D80" s="1" t="str">
        <f t="shared" si="1"/>
        <v>10 mildən çox sifarişə 30 faiz endirim</v>
      </c>
    </row>
    <row r="81" spans="1:4" x14ac:dyDescent="0.3">
      <c r="A81" s="1" t="s">
        <v>430</v>
      </c>
      <c r="B81" s="3">
        <v>1.6</v>
      </c>
      <c r="C81" s="3">
        <v>5.9999999999999991</v>
      </c>
      <c r="D81" s="1" t="str">
        <f t="shared" si="1"/>
        <v>10 mildən çox sifarişə 20 faiz endirim</v>
      </c>
    </row>
    <row r="82" spans="1:4" x14ac:dyDescent="0.3">
      <c r="A82" s="1" t="s">
        <v>431</v>
      </c>
      <c r="B82" s="3">
        <v>1.75</v>
      </c>
      <c r="C82" s="3">
        <v>5.6499999999999995</v>
      </c>
      <c r="D82" s="1" t="str">
        <f t="shared" si="1"/>
        <v>10 mildən çox sifarişə 20 faiz endirim</v>
      </c>
    </row>
    <row r="83" spans="1:4" x14ac:dyDescent="0.3">
      <c r="A83" s="1" t="s">
        <v>115</v>
      </c>
      <c r="B83" s="3">
        <v>1.25</v>
      </c>
      <c r="C83" s="3">
        <v>7.3</v>
      </c>
      <c r="D83" s="1" t="str">
        <f t="shared" si="1"/>
        <v>tətbiq edilmir</v>
      </c>
    </row>
    <row r="84" spans="1:4" x14ac:dyDescent="0.3">
      <c r="A84" s="1" t="s">
        <v>264</v>
      </c>
      <c r="B84" s="3">
        <v>1.6666666666666667</v>
      </c>
      <c r="C84" s="3">
        <v>4.333333333333333</v>
      </c>
      <c r="D84" s="1" t="str">
        <f t="shared" si="1"/>
        <v>10 mildən çox sifarişə 20 faiz endirim</v>
      </c>
    </row>
    <row r="85" spans="1:4" x14ac:dyDescent="0.3">
      <c r="A85" s="1" t="s">
        <v>265</v>
      </c>
      <c r="B85" s="3">
        <v>2</v>
      </c>
      <c r="C85" s="3">
        <v>7.6333333333333337</v>
      </c>
      <c r="D85" s="1" t="str">
        <f t="shared" si="1"/>
        <v>10 mildən çox sifarişə 20 faiz endirim</v>
      </c>
    </row>
    <row r="86" spans="1:4" x14ac:dyDescent="0.3">
      <c r="A86" s="1" t="s">
        <v>380</v>
      </c>
      <c r="B86" s="3">
        <v>1.5</v>
      </c>
      <c r="C86" s="3">
        <v>6.8000000000000007</v>
      </c>
      <c r="D86" s="1" t="str">
        <f t="shared" si="1"/>
        <v>10 mildən çox sifarişə 30 faiz endirim</v>
      </c>
    </row>
    <row r="87" spans="1:4" x14ac:dyDescent="0.3">
      <c r="A87" s="1" t="s">
        <v>653</v>
      </c>
      <c r="B87" s="3">
        <v>1.25</v>
      </c>
      <c r="C87" s="3">
        <v>5.15</v>
      </c>
      <c r="D87" s="1" t="str">
        <f t="shared" si="1"/>
        <v>10 mildən çox sifarişə 30 faiz endirim</v>
      </c>
    </row>
    <row r="88" spans="1:4" x14ac:dyDescent="0.3">
      <c r="A88" s="1" t="s">
        <v>116</v>
      </c>
      <c r="B88" s="3">
        <v>1.6</v>
      </c>
      <c r="C88" s="3">
        <v>4.5600000000000005</v>
      </c>
      <c r="D88" s="1" t="str">
        <f t="shared" si="1"/>
        <v>10 mildən çox sifarişə 20 faiz endirim</v>
      </c>
    </row>
    <row r="89" spans="1:4" x14ac:dyDescent="0.3">
      <c r="A89" s="1" t="s">
        <v>823</v>
      </c>
      <c r="B89" s="3">
        <v>1.3333333333333333</v>
      </c>
      <c r="C89" s="3">
        <v>1.8333333333333333</v>
      </c>
      <c r="D89" s="1" t="str">
        <f t="shared" si="1"/>
        <v>10 mildən çox sifarişə 30 faiz endirim</v>
      </c>
    </row>
    <row r="90" spans="1:4" x14ac:dyDescent="0.3">
      <c r="A90" s="1" t="s">
        <v>215</v>
      </c>
      <c r="B90" s="3">
        <v>1.75</v>
      </c>
      <c r="C90" s="3">
        <v>7.5750000000000002</v>
      </c>
      <c r="D90" s="1" t="str">
        <f t="shared" si="1"/>
        <v>10 mildən çox sifarişə 20 faiz endirim</v>
      </c>
    </row>
    <row r="91" spans="1:4" x14ac:dyDescent="0.3">
      <c r="A91" s="1" t="s">
        <v>617</v>
      </c>
      <c r="B91" s="3">
        <v>1.5</v>
      </c>
      <c r="C91" s="3">
        <v>3.3499999999999996</v>
      </c>
      <c r="D91" s="1" t="str">
        <f t="shared" si="1"/>
        <v>10 mildən çox sifarişə 30 faiz endirim</v>
      </c>
    </row>
    <row r="92" spans="1:4" x14ac:dyDescent="0.3">
      <c r="A92" s="1" t="s">
        <v>549</v>
      </c>
      <c r="B92" s="3">
        <v>2.5</v>
      </c>
      <c r="C92" s="3">
        <v>7</v>
      </c>
      <c r="D92" s="1" t="str">
        <f t="shared" si="1"/>
        <v>10 mildən çox sifarişə 20 faiz endirim</v>
      </c>
    </row>
    <row r="93" spans="1:4" x14ac:dyDescent="0.3">
      <c r="A93" s="1" t="s">
        <v>688</v>
      </c>
      <c r="B93" s="3">
        <v>1.5</v>
      </c>
      <c r="C93" s="3">
        <v>4.45</v>
      </c>
      <c r="D93" s="1" t="str">
        <f t="shared" si="1"/>
        <v>10 mildən çox sifarişə 30 faiz endirim</v>
      </c>
    </row>
    <row r="94" spans="1:4" x14ac:dyDescent="0.3">
      <c r="A94" s="1" t="s">
        <v>117</v>
      </c>
      <c r="B94" s="3">
        <v>1.2</v>
      </c>
      <c r="C94" s="3">
        <v>8.2199999999999989</v>
      </c>
      <c r="D94" s="1" t="str">
        <f t="shared" si="1"/>
        <v>tətbiq edilmir</v>
      </c>
    </row>
    <row r="95" spans="1:4" x14ac:dyDescent="0.3">
      <c r="A95" s="1" t="s">
        <v>216</v>
      </c>
      <c r="B95" s="3">
        <v>1.5</v>
      </c>
      <c r="C95" s="3">
        <v>6.3250000000000002</v>
      </c>
      <c r="D95" s="1" t="str">
        <f t="shared" si="1"/>
        <v>10 mildən çox sifarişə 30 faiz endirim</v>
      </c>
    </row>
    <row r="96" spans="1:4" x14ac:dyDescent="0.3">
      <c r="A96" s="1" t="s">
        <v>740</v>
      </c>
      <c r="B96" s="3">
        <v>1</v>
      </c>
      <c r="C96" s="3">
        <v>2.125</v>
      </c>
      <c r="D96" s="1" t="str">
        <f t="shared" si="1"/>
        <v>10 mildən çox sifarişə 30 faiz endirim</v>
      </c>
    </row>
    <row r="97" spans="1:4" x14ac:dyDescent="0.3">
      <c r="A97" s="1" t="s">
        <v>66</v>
      </c>
      <c r="B97" s="3">
        <v>1.3333333333333333</v>
      </c>
      <c r="C97" s="3">
        <v>2.4</v>
      </c>
      <c r="D97" s="1" t="str">
        <f t="shared" si="1"/>
        <v>10 mildən çox sifarişə 30 faiz endirim</v>
      </c>
    </row>
    <row r="98" spans="1:4" x14ac:dyDescent="0.3">
      <c r="A98" s="1" t="s">
        <v>67</v>
      </c>
      <c r="B98" s="3">
        <v>1.25</v>
      </c>
      <c r="C98" s="3">
        <v>5.8250000000000011</v>
      </c>
      <c r="D98" s="1" t="str">
        <f t="shared" si="1"/>
        <v>10 mildən çox sifarişə 30 faiz endirim</v>
      </c>
    </row>
    <row r="99" spans="1:4" x14ac:dyDescent="0.3">
      <c r="A99" s="1" t="s">
        <v>381</v>
      </c>
      <c r="B99" s="3">
        <v>2</v>
      </c>
      <c r="C99" s="3">
        <v>6.666666666666667</v>
      </c>
      <c r="D99" s="1" t="str">
        <f t="shared" si="1"/>
        <v>10 mildən çox sifarişə 20 faiz endirim</v>
      </c>
    </row>
    <row r="100" spans="1:4" x14ac:dyDescent="0.3">
      <c r="A100" s="1" t="s">
        <v>118</v>
      </c>
      <c r="B100" s="3">
        <v>2.5</v>
      </c>
      <c r="C100" s="3">
        <v>8.7000000000000011</v>
      </c>
      <c r="D100" s="1" t="str">
        <f t="shared" si="1"/>
        <v>10 mildən çox sifarişə 20 faiz endirim</v>
      </c>
    </row>
    <row r="101" spans="1:4" x14ac:dyDescent="0.3">
      <c r="A101" s="1" t="s">
        <v>432</v>
      </c>
      <c r="B101" s="3">
        <v>2</v>
      </c>
      <c r="C101" s="3">
        <v>4.4666666666666677</v>
      </c>
      <c r="D101" s="1" t="str">
        <f t="shared" si="1"/>
        <v>10 mildən çox sifarişə 20 faiz endirim</v>
      </c>
    </row>
    <row r="102" spans="1:4" x14ac:dyDescent="0.3">
      <c r="A102" s="1" t="s">
        <v>433</v>
      </c>
      <c r="B102" s="3">
        <v>1</v>
      </c>
      <c r="C102" s="3">
        <v>2.2600000000000002</v>
      </c>
      <c r="D102" s="1" t="str">
        <f t="shared" si="1"/>
        <v>10 mildən çox sifarişə 30 faiz endirim</v>
      </c>
    </row>
    <row r="103" spans="1:4" x14ac:dyDescent="0.3">
      <c r="A103" s="1" t="s">
        <v>618</v>
      </c>
      <c r="B103" s="3">
        <v>1.2</v>
      </c>
      <c r="C103" s="3">
        <v>4.4799999999999995</v>
      </c>
      <c r="D103" s="1" t="str">
        <f t="shared" si="1"/>
        <v>10 mildən çox sifarişə 30 faiz endirim</v>
      </c>
    </row>
    <row r="104" spans="1:4" x14ac:dyDescent="0.3">
      <c r="A104" s="1" t="s">
        <v>619</v>
      </c>
      <c r="B104" s="3">
        <v>1.3333333333333333</v>
      </c>
      <c r="C104" s="3">
        <v>2.6333333333333333</v>
      </c>
      <c r="D104" s="1" t="str">
        <f t="shared" si="1"/>
        <v>10 mildən çox sifarişə 30 faiz endirim</v>
      </c>
    </row>
    <row r="105" spans="1:4" x14ac:dyDescent="0.3">
      <c r="A105" s="1" t="s">
        <v>700</v>
      </c>
      <c r="B105" s="3">
        <v>1</v>
      </c>
      <c r="C105" s="3">
        <v>2.2999999999999998</v>
      </c>
      <c r="D105" s="1" t="str">
        <f t="shared" si="1"/>
        <v>10 mildən çox sifarişə 30 faiz endirim</v>
      </c>
    </row>
    <row r="106" spans="1:4" x14ac:dyDescent="0.3">
      <c r="A106" s="1" t="s">
        <v>382</v>
      </c>
      <c r="B106" s="3">
        <v>1.25</v>
      </c>
      <c r="C106" s="3">
        <v>4.125</v>
      </c>
      <c r="D106" s="1" t="str">
        <f t="shared" si="1"/>
        <v>10 mildən çox sifarişə 30 faiz endirim</v>
      </c>
    </row>
    <row r="107" spans="1:4" x14ac:dyDescent="0.3">
      <c r="A107" s="1" t="s">
        <v>321</v>
      </c>
      <c r="B107" s="3">
        <v>1.3333333333333333</v>
      </c>
      <c r="C107" s="3">
        <v>6.0333333333333341</v>
      </c>
      <c r="D107" s="1" t="str">
        <f t="shared" si="1"/>
        <v>10 mildən çox sifarişə 30 faiz endirim</v>
      </c>
    </row>
    <row r="108" spans="1:4" x14ac:dyDescent="0.3">
      <c r="A108" s="1" t="s">
        <v>322</v>
      </c>
      <c r="B108" s="3">
        <v>1.4</v>
      </c>
      <c r="C108" s="3">
        <v>3.9</v>
      </c>
      <c r="D108" s="1" t="str">
        <f t="shared" si="1"/>
        <v>10 mildən çox sifarişə 30 faiz endirim</v>
      </c>
    </row>
    <row r="109" spans="1:4" x14ac:dyDescent="0.3">
      <c r="A109" s="1" t="s">
        <v>863</v>
      </c>
      <c r="B109" s="3">
        <v>1</v>
      </c>
      <c r="C109" s="3">
        <v>3.7666666666666671</v>
      </c>
      <c r="D109" s="1" t="str">
        <f t="shared" si="1"/>
        <v>10 mildən çox sifarişə 30 faiz endirim</v>
      </c>
    </row>
    <row r="110" spans="1:4" x14ac:dyDescent="0.3">
      <c r="A110" s="1" t="s">
        <v>434</v>
      </c>
      <c r="B110" s="3">
        <v>2.25</v>
      </c>
      <c r="C110" s="3">
        <v>10.3</v>
      </c>
      <c r="D110" s="1" t="str">
        <f t="shared" si="1"/>
        <v>10 mildən çox sifarişə 20 faiz endirim</v>
      </c>
    </row>
    <row r="111" spans="1:4" x14ac:dyDescent="0.3">
      <c r="A111" s="1" t="s">
        <v>217</v>
      </c>
      <c r="B111" s="3">
        <v>1</v>
      </c>
      <c r="C111" s="3">
        <v>9.7750000000000004</v>
      </c>
      <c r="D111" s="1" t="str">
        <f t="shared" si="1"/>
        <v>tətbiq edilmir</v>
      </c>
    </row>
    <row r="112" spans="1:4" x14ac:dyDescent="0.3">
      <c r="A112" s="1" t="s">
        <v>518</v>
      </c>
      <c r="B112" s="3">
        <v>1</v>
      </c>
      <c r="C112" s="3">
        <v>1.9749999999999999</v>
      </c>
      <c r="D112" s="1" t="str">
        <f t="shared" si="1"/>
        <v>10 mildən çox sifarişə 30 faiz endirim</v>
      </c>
    </row>
    <row r="113" spans="1:4" x14ac:dyDescent="0.3">
      <c r="A113" s="1" t="s">
        <v>218</v>
      </c>
      <c r="B113" s="3">
        <v>1</v>
      </c>
      <c r="C113" s="3">
        <v>0.63333333333333341</v>
      </c>
      <c r="D113" s="1" t="str">
        <f t="shared" si="1"/>
        <v>10 mildən çox sifarişə 30 faiz endirim</v>
      </c>
    </row>
    <row r="114" spans="1:4" x14ac:dyDescent="0.3">
      <c r="A114" s="1" t="s">
        <v>477</v>
      </c>
      <c r="B114" s="3">
        <v>1.3333333333333333</v>
      </c>
      <c r="C114" s="3">
        <v>4.3833333333333337</v>
      </c>
      <c r="D114" s="1" t="str">
        <f t="shared" si="1"/>
        <v>10 mildən çox sifarişə 30 faiz endirim</v>
      </c>
    </row>
    <row r="115" spans="1:4" x14ac:dyDescent="0.3">
      <c r="A115" s="1" t="s">
        <v>620</v>
      </c>
      <c r="B115" s="3">
        <v>1</v>
      </c>
      <c r="C115" s="3">
        <v>0.9</v>
      </c>
      <c r="D115" s="1" t="str">
        <f t="shared" si="1"/>
        <v>10 mildən çox sifarişə 30 faiz endirim</v>
      </c>
    </row>
    <row r="116" spans="1:4" x14ac:dyDescent="0.3">
      <c r="A116" s="1" t="s">
        <v>119</v>
      </c>
      <c r="B116" s="3">
        <v>1.75</v>
      </c>
      <c r="C116" s="3">
        <v>5.85</v>
      </c>
      <c r="D116" s="1" t="str">
        <f t="shared" si="1"/>
        <v>10 mildən çox sifarişə 20 faiz endirim</v>
      </c>
    </row>
    <row r="117" spans="1:4" x14ac:dyDescent="0.3">
      <c r="A117" s="1" t="s">
        <v>266</v>
      </c>
      <c r="B117" s="3">
        <v>1.4</v>
      </c>
      <c r="C117" s="3">
        <v>7.32</v>
      </c>
      <c r="D117" s="1" t="str">
        <f t="shared" si="1"/>
        <v>tətbiq edilmir</v>
      </c>
    </row>
    <row r="118" spans="1:4" x14ac:dyDescent="0.3">
      <c r="A118" s="1" t="s">
        <v>720</v>
      </c>
      <c r="B118" s="3">
        <v>1.6666666666666667</v>
      </c>
      <c r="C118" s="3">
        <v>5.3</v>
      </c>
      <c r="D118" s="1" t="str">
        <f t="shared" si="1"/>
        <v>10 mildən çox sifarişə 20 faiz endirim</v>
      </c>
    </row>
    <row r="119" spans="1:4" x14ac:dyDescent="0.3">
      <c r="A119" s="1" t="s">
        <v>896</v>
      </c>
      <c r="B119" s="3">
        <v>1</v>
      </c>
      <c r="C119" s="3">
        <v>3.95</v>
      </c>
      <c r="D119" s="1" t="str">
        <f t="shared" si="1"/>
        <v>10 mildən çox sifarişə 30 faiz endirim</v>
      </c>
    </row>
    <row r="120" spans="1:4" x14ac:dyDescent="0.3">
      <c r="A120" s="1" t="s">
        <v>908</v>
      </c>
      <c r="B120" s="3">
        <v>1</v>
      </c>
      <c r="C120" s="3">
        <v>5.0999999999999996</v>
      </c>
      <c r="D120" s="1" t="str">
        <f t="shared" si="1"/>
        <v>10 mildən çox sifarişə 30 faiz endirim</v>
      </c>
    </row>
    <row r="121" spans="1:4" x14ac:dyDescent="0.3">
      <c r="A121" s="1" t="s">
        <v>435</v>
      </c>
      <c r="B121" s="3">
        <v>1.6</v>
      </c>
      <c r="C121" s="3">
        <v>2.6</v>
      </c>
      <c r="D121" s="1" t="str">
        <f t="shared" si="1"/>
        <v>10 mildən çox sifarişə 20 faiz endirim</v>
      </c>
    </row>
    <row r="122" spans="1:4" x14ac:dyDescent="0.3">
      <c r="A122" s="1" t="s">
        <v>120</v>
      </c>
      <c r="B122" s="3">
        <v>2</v>
      </c>
      <c r="C122" s="3">
        <v>5.4</v>
      </c>
      <c r="D122" s="1" t="str">
        <f t="shared" si="1"/>
        <v>10 mildən çox sifarişə 20 faiz endirim</v>
      </c>
    </row>
    <row r="123" spans="1:4" x14ac:dyDescent="0.3">
      <c r="A123" s="1" t="s">
        <v>654</v>
      </c>
      <c r="B123" s="3">
        <v>1.1666666666666667</v>
      </c>
      <c r="C123" s="3">
        <v>4.3</v>
      </c>
      <c r="D123" s="1" t="str">
        <f t="shared" si="1"/>
        <v>10 mildən çox sifarişə 30 faiz endirim</v>
      </c>
    </row>
    <row r="124" spans="1:4" x14ac:dyDescent="0.3">
      <c r="A124" s="1" t="s">
        <v>550</v>
      </c>
      <c r="B124" s="3">
        <v>1.25</v>
      </c>
      <c r="C124" s="3">
        <v>4.0250000000000004</v>
      </c>
      <c r="D124" s="1" t="str">
        <f t="shared" si="1"/>
        <v>10 mildən çox sifarişə 30 faiz endirim</v>
      </c>
    </row>
    <row r="125" spans="1:4" x14ac:dyDescent="0.3">
      <c r="A125" s="1" t="s">
        <v>323</v>
      </c>
      <c r="B125" s="3">
        <v>1.5</v>
      </c>
      <c r="C125" s="3">
        <v>2.2000000000000002</v>
      </c>
      <c r="D125" s="1" t="str">
        <f t="shared" si="1"/>
        <v>10 mildən çox sifarişə 30 faiz endirim</v>
      </c>
    </row>
    <row r="126" spans="1:4" x14ac:dyDescent="0.3">
      <c r="A126" s="1" t="s">
        <v>551</v>
      </c>
      <c r="B126" s="3">
        <v>1.75</v>
      </c>
      <c r="C126" s="3">
        <v>6.9250000000000007</v>
      </c>
      <c r="D126" s="1" t="str">
        <f t="shared" si="1"/>
        <v>10 mildən çox sifarişə 20 faiz endirim</v>
      </c>
    </row>
    <row r="127" spans="1:4" x14ac:dyDescent="0.3">
      <c r="A127" s="1" t="s">
        <v>219</v>
      </c>
      <c r="B127" s="3">
        <v>2</v>
      </c>
      <c r="C127" s="3">
        <v>5.1599999999999993</v>
      </c>
      <c r="D127" s="1" t="str">
        <f t="shared" si="1"/>
        <v>10 mildən çox sifarişə 20 faiz endirim</v>
      </c>
    </row>
    <row r="128" spans="1:4" x14ac:dyDescent="0.3">
      <c r="A128" s="1" t="s">
        <v>552</v>
      </c>
      <c r="B128" s="3">
        <v>1.25</v>
      </c>
      <c r="C128" s="3">
        <v>5.05</v>
      </c>
      <c r="D128" s="1" t="str">
        <f t="shared" si="1"/>
        <v>10 mildən çox sifarişə 30 faiz endirim</v>
      </c>
    </row>
    <row r="129" spans="1:4" x14ac:dyDescent="0.3">
      <c r="A129" s="1" t="s">
        <v>267</v>
      </c>
      <c r="B129" s="3">
        <v>1</v>
      </c>
      <c r="C129" s="3">
        <v>2.6</v>
      </c>
      <c r="D129" s="1" t="str">
        <f t="shared" si="1"/>
        <v>10 mildən çox sifarişə 30 faiz endirim</v>
      </c>
    </row>
    <row r="130" spans="1:4" x14ac:dyDescent="0.3">
      <c r="A130" s="1" t="s">
        <v>478</v>
      </c>
      <c r="B130" s="3">
        <v>1</v>
      </c>
      <c r="C130" s="3">
        <v>3.2333333333333329</v>
      </c>
      <c r="D130" s="1" t="str">
        <f t="shared" si="1"/>
        <v>10 mildən çox sifarişə 30 faiz endirim</v>
      </c>
    </row>
    <row r="131" spans="1:4" x14ac:dyDescent="0.3">
      <c r="A131" s="1" t="s">
        <v>479</v>
      </c>
      <c r="B131" s="3">
        <v>1.75</v>
      </c>
      <c r="C131" s="3">
        <v>7.4249999999999998</v>
      </c>
      <c r="D131" s="1" t="str">
        <f t="shared" ref="D131:D194" si="2">IF( B131&lt;1, "gündəlik bir gedişə 30% endirim", IF(B131&gt;1.5, "10 mildən çox sifarişə 20 faiz endirim", IF(C131&lt;7, "10 mildən çox sifarişə 30 faiz endirim", "tətbiq edilmir") ))</f>
        <v>10 mildən çox sifarişə 20 faiz endirim</v>
      </c>
    </row>
    <row r="132" spans="1:4" x14ac:dyDescent="0.3">
      <c r="A132" s="1" t="s">
        <v>436</v>
      </c>
      <c r="B132" s="3">
        <v>1.6666666666666667</v>
      </c>
      <c r="C132" s="3">
        <v>3.6333333333333329</v>
      </c>
      <c r="D132" s="1" t="str">
        <f t="shared" si="2"/>
        <v>10 mildən çox sifarişə 20 faiz endirim</v>
      </c>
    </row>
    <row r="133" spans="1:4" x14ac:dyDescent="0.3">
      <c r="A133" s="1" t="s">
        <v>897</v>
      </c>
      <c r="B133" s="3">
        <v>1.3333333333333333</v>
      </c>
      <c r="C133" s="3">
        <v>7.2</v>
      </c>
      <c r="D133" s="1" t="str">
        <f t="shared" si="2"/>
        <v>tətbiq edilmir</v>
      </c>
    </row>
    <row r="134" spans="1:4" x14ac:dyDescent="0.3">
      <c r="A134" s="1" t="s">
        <v>889</v>
      </c>
      <c r="B134" s="3">
        <v>4</v>
      </c>
      <c r="C134" s="3">
        <v>22.9</v>
      </c>
      <c r="D134" s="1" t="str">
        <f t="shared" si="2"/>
        <v>10 mildən çox sifarişə 20 faiz endirim</v>
      </c>
    </row>
    <row r="135" spans="1:4" x14ac:dyDescent="0.3">
      <c r="A135" s="1" t="s">
        <v>592</v>
      </c>
      <c r="B135" s="3">
        <v>1.5</v>
      </c>
      <c r="C135" s="3">
        <v>4.55</v>
      </c>
      <c r="D135" s="1" t="str">
        <f t="shared" si="2"/>
        <v>10 mildən çox sifarişə 30 faiz endirim</v>
      </c>
    </row>
    <row r="136" spans="1:4" x14ac:dyDescent="0.3">
      <c r="A136" s="1" t="s">
        <v>383</v>
      </c>
      <c r="B136" s="3">
        <v>1.6666666666666667</v>
      </c>
      <c r="C136" s="3">
        <v>3.5333333333333332</v>
      </c>
      <c r="D136" s="1" t="str">
        <f t="shared" si="2"/>
        <v>10 mildən çox sifarişə 20 faiz endirim</v>
      </c>
    </row>
    <row r="137" spans="1:4" x14ac:dyDescent="0.3">
      <c r="A137" s="1" t="s">
        <v>68</v>
      </c>
      <c r="B137" s="3">
        <v>1.5</v>
      </c>
      <c r="C137" s="3">
        <v>4.05</v>
      </c>
      <c r="D137" s="1" t="str">
        <f t="shared" si="2"/>
        <v>10 mildən çox sifarişə 30 faiz endirim</v>
      </c>
    </row>
    <row r="138" spans="1:4" x14ac:dyDescent="0.3">
      <c r="A138" s="1" t="s">
        <v>621</v>
      </c>
      <c r="B138" s="3">
        <v>1.8</v>
      </c>
      <c r="C138" s="3">
        <v>4.1599999999999993</v>
      </c>
      <c r="D138" s="1" t="str">
        <f t="shared" si="2"/>
        <v>10 mildən çox sifarişə 20 faiz endirim</v>
      </c>
    </row>
    <row r="139" spans="1:4" x14ac:dyDescent="0.3">
      <c r="A139" s="1" t="s">
        <v>655</v>
      </c>
      <c r="B139" s="3">
        <v>1.6</v>
      </c>
      <c r="C139" s="3">
        <v>12.8</v>
      </c>
      <c r="D139" s="1" t="str">
        <f t="shared" si="2"/>
        <v>10 mildən çox sifarişə 20 faiz endirim</v>
      </c>
    </row>
    <row r="140" spans="1:4" x14ac:dyDescent="0.3">
      <c r="A140" s="1" t="s">
        <v>793</v>
      </c>
      <c r="B140" s="3">
        <v>1</v>
      </c>
      <c r="C140" s="3">
        <v>5.0999999999999996</v>
      </c>
      <c r="D140" s="1" t="str">
        <f t="shared" si="2"/>
        <v>10 mildən çox sifarişə 30 faiz endirim</v>
      </c>
    </row>
    <row r="141" spans="1:4" x14ac:dyDescent="0.3">
      <c r="A141" s="1" t="s">
        <v>220</v>
      </c>
      <c r="B141" s="3">
        <v>1</v>
      </c>
      <c r="C141" s="3">
        <v>2.4333333333333331</v>
      </c>
      <c r="D141" s="1" t="str">
        <f t="shared" si="2"/>
        <v>10 mildən çox sifarişə 30 faiz endirim</v>
      </c>
    </row>
    <row r="142" spans="1:4" x14ac:dyDescent="0.3">
      <c r="A142" s="1" t="s">
        <v>121</v>
      </c>
      <c r="B142" s="3">
        <v>1.75</v>
      </c>
      <c r="C142" s="3">
        <v>6.4</v>
      </c>
      <c r="D142" s="1" t="str">
        <f t="shared" si="2"/>
        <v>10 mildən çox sifarişə 20 faiz endirim</v>
      </c>
    </row>
    <row r="143" spans="1:4" x14ac:dyDescent="0.3">
      <c r="A143" s="1" t="s">
        <v>122</v>
      </c>
      <c r="B143" s="3">
        <v>1.5</v>
      </c>
      <c r="C143" s="3">
        <v>2.4500000000000002</v>
      </c>
      <c r="D143" s="1" t="str">
        <f t="shared" si="2"/>
        <v>10 mildən çox sifarişə 30 faiz endirim</v>
      </c>
    </row>
    <row r="144" spans="1:4" x14ac:dyDescent="0.3">
      <c r="A144" s="1" t="s">
        <v>437</v>
      </c>
      <c r="B144" s="3">
        <v>1.25</v>
      </c>
      <c r="C144" s="3">
        <v>2.0749999999999997</v>
      </c>
      <c r="D144" s="1" t="str">
        <f t="shared" si="2"/>
        <v>10 mildən çox sifarişə 30 faiz endirim</v>
      </c>
    </row>
    <row r="145" spans="1:4" x14ac:dyDescent="0.3">
      <c r="A145" s="1" t="s">
        <v>824</v>
      </c>
      <c r="B145" s="3">
        <v>1.6666666666666667</v>
      </c>
      <c r="C145" s="3">
        <v>7.8666666666666671</v>
      </c>
      <c r="D145" s="1" t="str">
        <f t="shared" si="2"/>
        <v>10 mildən çox sifarişə 20 faiz endirim</v>
      </c>
    </row>
    <row r="146" spans="1:4" x14ac:dyDescent="0.3">
      <c r="A146" s="1" t="s">
        <v>324</v>
      </c>
      <c r="B146" s="3">
        <v>1</v>
      </c>
      <c r="C146" s="3">
        <v>3.2750000000000004</v>
      </c>
      <c r="D146" s="1" t="str">
        <f t="shared" si="2"/>
        <v>10 mildən çox sifarişə 30 faiz endirim</v>
      </c>
    </row>
    <row r="147" spans="1:4" x14ac:dyDescent="0.3">
      <c r="A147" s="1" t="s">
        <v>123</v>
      </c>
      <c r="B147" s="3">
        <v>2</v>
      </c>
      <c r="C147" s="3">
        <v>12.933333333333332</v>
      </c>
      <c r="D147" s="1" t="str">
        <f t="shared" si="2"/>
        <v>10 mildən çox sifarişə 20 faiz endirim</v>
      </c>
    </row>
    <row r="148" spans="1:4" x14ac:dyDescent="0.3">
      <c r="A148" s="1" t="s">
        <v>384</v>
      </c>
      <c r="B148" s="3">
        <v>1.4</v>
      </c>
      <c r="C148" s="3">
        <v>3.14</v>
      </c>
      <c r="D148" s="1" t="str">
        <f t="shared" si="2"/>
        <v>10 mildən çox sifarişə 30 faiz endirim</v>
      </c>
    </row>
    <row r="149" spans="1:4" x14ac:dyDescent="0.3">
      <c r="A149" s="1" t="s">
        <v>882</v>
      </c>
      <c r="B149" s="3">
        <v>1</v>
      </c>
      <c r="C149" s="3">
        <v>7.9333333333333336</v>
      </c>
      <c r="D149" s="1" t="str">
        <f t="shared" si="2"/>
        <v>tətbiq edilmir</v>
      </c>
    </row>
    <row r="150" spans="1:4" x14ac:dyDescent="0.3">
      <c r="A150" s="1" t="s">
        <v>268</v>
      </c>
      <c r="B150" s="3">
        <v>1.25</v>
      </c>
      <c r="C150" s="3">
        <v>10.55</v>
      </c>
      <c r="D150" s="1" t="str">
        <f t="shared" si="2"/>
        <v>tətbiq edilmir</v>
      </c>
    </row>
    <row r="151" spans="1:4" x14ac:dyDescent="0.3">
      <c r="A151" s="1" t="s">
        <v>325</v>
      </c>
      <c r="B151" s="3">
        <v>1.3333333333333333</v>
      </c>
      <c r="C151" s="3">
        <v>5.6000000000000005</v>
      </c>
      <c r="D151" s="1" t="str">
        <f t="shared" si="2"/>
        <v>10 mildən çox sifarişə 30 faiz endirim</v>
      </c>
    </row>
    <row r="152" spans="1:4" x14ac:dyDescent="0.3">
      <c r="A152" s="1" t="s">
        <v>326</v>
      </c>
      <c r="B152" s="3">
        <v>1.2</v>
      </c>
      <c r="C152" s="3">
        <v>6.28</v>
      </c>
      <c r="D152" s="1" t="str">
        <f t="shared" si="2"/>
        <v>10 mildən çox sifarişə 30 faiz endirim</v>
      </c>
    </row>
    <row r="153" spans="1:4" x14ac:dyDescent="0.3">
      <c r="A153" s="1" t="s">
        <v>480</v>
      </c>
      <c r="B153" s="3">
        <v>1</v>
      </c>
      <c r="C153" s="3">
        <v>2.9249999999999998</v>
      </c>
      <c r="D153" s="1" t="str">
        <f t="shared" si="2"/>
        <v>10 mildən çox sifarişə 30 faiz endirim</v>
      </c>
    </row>
    <row r="154" spans="1:4" x14ac:dyDescent="0.3">
      <c r="A154" s="1" t="s">
        <v>898</v>
      </c>
      <c r="B154" s="3">
        <v>1</v>
      </c>
      <c r="C154" s="3">
        <v>1.2</v>
      </c>
      <c r="D154" s="1" t="str">
        <f t="shared" si="2"/>
        <v>10 mildən çox sifarişə 30 faiz endirim</v>
      </c>
    </row>
    <row r="155" spans="1:4" x14ac:dyDescent="0.3">
      <c r="A155" s="1" t="s">
        <v>69</v>
      </c>
      <c r="B155" s="3">
        <v>1.3333333333333333</v>
      </c>
      <c r="C155" s="3">
        <v>4.666666666666667</v>
      </c>
      <c r="D155" s="1" t="str">
        <f t="shared" si="2"/>
        <v>10 mildən çox sifarişə 30 faiz endirim</v>
      </c>
    </row>
    <row r="156" spans="1:4" x14ac:dyDescent="0.3">
      <c r="A156" s="1" t="s">
        <v>70</v>
      </c>
      <c r="B156" s="3">
        <v>1</v>
      </c>
      <c r="C156" s="3">
        <v>2.08</v>
      </c>
      <c r="D156" s="1" t="str">
        <f t="shared" si="2"/>
        <v>10 mildən çox sifarişə 30 faiz endirim</v>
      </c>
    </row>
    <row r="157" spans="1:4" x14ac:dyDescent="0.3">
      <c r="A157" s="1" t="s">
        <v>221</v>
      </c>
      <c r="B157" s="3">
        <v>1.75</v>
      </c>
      <c r="C157" s="3">
        <v>2.0499999999999998</v>
      </c>
      <c r="D157" s="1" t="str">
        <f t="shared" si="2"/>
        <v>10 mildən çox sifarişə 20 faiz endirim</v>
      </c>
    </row>
    <row r="158" spans="1:4" x14ac:dyDescent="0.3">
      <c r="A158" s="1" t="s">
        <v>124</v>
      </c>
      <c r="B158" s="3">
        <v>1</v>
      </c>
      <c r="C158" s="3">
        <v>1.375</v>
      </c>
      <c r="D158" s="1" t="str">
        <f t="shared" si="2"/>
        <v>10 mildən çox sifarişə 30 faiz endirim</v>
      </c>
    </row>
    <row r="159" spans="1:4" x14ac:dyDescent="0.3">
      <c r="A159" s="1" t="s">
        <v>864</v>
      </c>
      <c r="B159" s="3">
        <v>2.5</v>
      </c>
      <c r="C159" s="3">
        <v>11</v>
      </c>
      <c r="D159" s="1" t="str">
        <f t="shared" si="2"/>
        <v>10 mildən çox sifarişə 20 faiz endirim</v>
      </c>
    </row>
    <row r="160" spans="1:4" x14ac:dyDescent="0.3">
      <c r="A160" s="1" t="s">
        <v>761</v>
      </c>
      <c r="B160" s="3">
        <v>1.3333333333333333</v>
      </c>
      <c r="C160" s="3">
        <v>2.6666666666666665</v>
      </c>
      <c r="D160" s="1" t="str">
        <f t="shared" si="2"/>
        <v>10 mildən çox sifarişə 30 faiz endirim</v>
      </c>
    </row>
    <row r="161" spans="1:4" x14ac:dyDescent="0.3">
      <c r="A161" s="1" t="s">
        <v>656</v>
      </c>
      <c r="B161" s="3">
        <v>1</v>
      </c>
      <c r="C161" s="3">
        <v>4.3</v>
      </c>
      <c r="D161" s="1" t="str">
        <f t="shared" si="2"/>
        <v>10 mildən çox sifarişə 30 faiz endirim</v>
      </c>
    </row>
    <row r="162" spans="1:4" x14ac:dyDescent="0.3">
      <c r="A162" s="1" t="s">
        <v>269</v>
      </c>
      <c r="B162" s="3">
        <v>1.75</v>
      </c>
      <c r="C162" s="3">
        <v>6.1750000000000007</v>
      </c>
      <c r="D162" s="1" t="str">
        <f t="shared" si="2"/>
        <v>10 mildən çox sifarişə 20 faiz endirim</v>
      </c>
    </row>
    <row r="163" spans="1:4" x14ac:dyDescent="0.3">
      <c r="A163" s="1" t="s">
        <v>779</v>
      </c>
      <c r="B163" s="3">
        <v>2</v>
      </c>
      <c r="C163" s="3">
        <v>4.25</v>
      </c>
      <c r="D163" s="1" t="str">
        <f t="shared" si="2"/>
        <v>10 mildən çox sifarişə 20 faiz endirim</v>
      </c>
    </row>
    <row r="164" spans="1:4" x14ac:dyDescent="0.3">
      <c r="A164" s="1" t="s">
        <v>385</v>
      </c>
      <c r="B164" s="3">
        <v>1.25</v>
      </c>
      <c r="C164" s="3">
        <v>2.3000000000000003</v>
      </c>
      <c r="D164" s="1" t="str">
        <f t="shared" si="2"/>
        <v>10 mildən çox sifarişə 30 faiz endirim</v>
      </c>
    </row>
    <row r="165" spans="1:4" x14ac:dyDescent="0.3">
      <c r="A165" s="1" t="s">
        <v>125</v>
      </c>
      <c r="B165" s="3">
        <v>1.3333333333333333</v>
      </c>
      <c r="C165" s="3">
        <v>3.5666666666666664</v>
      </c>
      <c r="D165" s="1" t="str">
        <f t="shared" si="2"/>
        <v>10 mildən çox sifarişə 30 faiz endirim</v>
      </c>
    </row>
    <row r="166" spans="1:4" x14ac:dyDescent="0.3">
      <c r="A166" s="1" t="s">
        <v>222</v>
      </c>
      <c r="B166" s="3">
        <v>1</v>
      </c>
      <c r="C166" s="3">
        <v>7.1333333333333329</v>
      </c>
      <c r="D166" s="1" t="str">
        <f t="shared" si="2"/>
        <v>tətbiq edilmir</v>
      </c>
    </row>
    <row r="167" spans="1:4" x14ac:dyDescent="0.3">
      <c r="A167" s="1" t="s">
        <v>839</v>
      </c>
      <c r="B167" s="3">
        <v>1.5</v>
      </c>
      <c r="C167" s="3">
        <v>9.8000000000000007</v>
      </c>
      <c r="D167" s="1" t="str">
        <f t="shared" si="2"/>
        <v>tətbiq edilmir</v>
      </c>
    </row>
    <row r="168" spans="1:4" x14ac:dyDescent="0.3">
      <c r="A168" s="1" t="s">
        <v>270</v>
      </c>
      <c r="B168" s="3">
        <v>1</v>
      </c>
      <c r="C168" s="3">
        <v>2.4</v>
      </c>
      <c r="D168" s="1" t="str">
        <f t="shared" si="2"/>
        <v>10 mildən çox sifarişə 30 faiz endirim</v>
      </c>
    </row>
    <row r="169" spans="1:4" x14ac:dyDescent="0.3">
      <c r="A169" s="1" t="s">
        <v>909</v>
      </c>
      <c r="B169" s="3">
        <v>1.3333333333333333</v>
      </c>
      <c r="C169" s="3">
        <v>3</v>
      </c>
      <c r="D169" s="1" t="str">
        <f t="shared" si="2"/>
        <v>10 mildən çox sifarişə 30 faiz endirim</v>
      </c>
    </row>
    <row r="170" spans="1:4" x14ac:dyDescent="0.3">
      <c r="A170" s="1" t="s">
        <v>126</v>
      </c>
      <c r="B170" s="3">
        <v>1</v>
      </c>
      <c r="C170" s="3">
        <v>3.3999999999999995</v>
      </c>
      <c r="D170" s="1" t="str">
        <f t="shared" si="2"/>
        <v>10 mildən çox sifarişə 30 faiz endirim</v>
      </c>
    </row>
    <row r="171" spans="1:4" x14ac:dyDescent="0.3">
      <c r="A171" s="1" t="s">
        <v>657</v>
      </c>
      <c r="B171" s="3">
        <v>1.3333333333333333</v>
      </c>
      <c r="C171" s="3">
        <v>4.3833333333333329</v>
      </c>
      <c r="D171" s="1" t="str">
        <f t="shared" si="2"/>
        <v>10 mildən çox sifarişə 30 faiz endirim</v>
      </c>
    </row>
    <row r="172" spans="1:4" x14ac:dyDescent="0.3">
      <c r="A172" s="1" t="s">
        <v>327</v>
      </c>
      <c r="B172" s="3">
        <v>1</v>
      </c>
      <c r="C172" s="3">
        <v>3.4</v>
      </c>
      <c r="D172" s="1" t="str">
        <f t="shared" si="2"/>
        <v>10 mildən çox sifarişə 30 faiz endirim</v>
      </c>
    </row>
    <row r="173" spans="1:4" x14ac:dyDescent="0.3">
      <c r="A173" s="1" t="s">
        <v>762</v>
      </c>
      <c r="B173" s="3">
        <v>1.25</v>
      </c>
      <c r="C173" s="3">
        <v>3.875</v>
      </c>
      <c r="D173" s="1" t="str">
        <f t="shared" si="2"/>
        <v>10 mildən çox sifarişə 30 faiz endirim</v>
      </c>
    </row>
    <row r="174" spans="1:4" x14ac:dyDescent="0.3">
      <c r="A174" s="1" t="s">
        <v>622</v>
      </c>
      <c r="B174" s="3">
        <v>1.25</v>
      </c>
      <c r="C174" s="3">
        <v>6.2249999999999996</v>
      </c>
      <c r="D174" s="1" t="str">
        <f t="shared" si="2"/>
        <v>10 mildən çox sifarişə 30 faiz endirim</v>
      </c>
    </row>
    <row r="175" spans="1:4" x14ac:dyDescent="0.3">
      <c r="A175" s="1" t="s">
        <v>223</v>
      </c>
      <c r="B175" s="3">
        <v>2.2000000000000002</v>
      </c>
      <c r="C175" s="3">
        <v>5.42</v>
      </c>
      <c r="D175" s="1" t="str">
        <f t="shared" si="2"/>
        <v>10 mildən çox sifarişə 20 faiz endirim</v>
      </c>
    </row>
    <row r="176" spans="1:4" x14ac:dyDescent="0.3">
      <c r="A176" s="1" t="s">
        <v>224</v>
      </c>
      <c r="B176" s="3">
        <v>2</v>
      </c>
      <c r="C176" s="3">
        <v>5.7750000000000004</v>
      </c>
      <c r="D176" s="1" t="str">
        <f t="shared" si="2"/>
        <v>10 mildən çox sifarişə 20 faiz endirim</v>
      </c>
    </row>
    <row r="177" spans="1:4" x14ac:dyDescent="0.3">
      <c r="A177" s="1" t="s">
        <v>71</v>
      </c>
      <c r="B177" s="3">
        <v>1</v>
      </c>
      <c r="C177" s="3">
        <v>8.5666666666666664</v>
      </c>
      <c r="D177" s="1" t="str">
        <f t="shared" si="2"/>
        <v>tətbiq edilmir</v>
      </c>
    </row>
    <row r="178" spans="1:4" x14ac:dyDescent="0.3">
      <c r="A178" s="1" t="s">
        <v>438</v>
      </c>
      <c r="B178" s="3">
        <v>1.6</v>
      </c>
      <c r="C178" s="3">
        <v>6.22</v>
      </c>
      <c r="D178" s="1" t="str">
        <f t="shared" si="2"/>
        <v>10 mildən çox sifarişə 20 faiz endirim</v>
      </c>
    </row>
    <row r="179" spans="1:4" x14ac:dyDescent="0.3">
      <c r="A179" s="1" t="s">
        <v>763</v>
      </c>
      <c r="B179" s="3">
        <v>1</v>
      </c>
      <c r="C179" s="3">
        <v>6.3749999999999991</v>
      </c>
      <c r="D179" s="1" t="str">
        <f t="shared" si="2"/>
        <v>10 mildən çox sifarişə 30 faiz endirim</v>
      </c>
    </row>
    <row r="180" spans="1:4" x14ac:dyDescent="0.3">
      <c r="A180" s="1" t="s">
        <v>225</v>
      </c>
      <c r="B180" s="3">
        <v>1</v>
      </c>
      <c r="C180" s="3">
        <v>9.3000000000000007</v>
      </c>
      <c r="D180" s="1" t="str">
        <f t="shared" si="2"/>
        <v>tətbiq edilmir</v>
      </c>
    </row>
    <row r="181" spans="1:4" x14ac:dyDescent="0.3">
      <c r="A181" s="1" t="s">
        <v>553</v>
      </c>
      <c r="B181" s="3">
        <v>1</v>
      </c>
      <c r="C181" s="3">
        <v>3.56</v>
      </c>
      <c r="D181" s="1" t="str">
        <f t="shared" si="2"/>
        <v>10 mildən çox sifarişə 30 faiz endirim</v>
      </c>
    </row>
    <row r="182" spans="1:4" x14ac:dyDescent="0.3">
      <c r="A182" s="1" t="s">
        <v>439</v>
      </c>
      <c r="B182" s="3">
        <v>1.5</v>
      </c>
      <c r="C182" s="3">
        <v>4.7750000000000004</v>
      </c>
      <c r="D182" s="1" t="str">
        <f t="shared" si="2"/>
        <v>10 mildən çox sifarişə 30 faiz endirim</v>
      </c>
    </row>
    <row r="183" spans="1:4" x14ac:dyDescent="0.3">
      <c r="A183" s="1" t="s">
        <v>764</v>
      </c>
      <c r="B183" s="3">
        <v>2</v>
      </c>
      <c r="C183" s="3">
        <v>5.7333333333333334</v>
      </c>
      <c r="D183" s="1" t="str">
        <f t="shared" si="2"/>
        <v>10 mildən çox sifarişə 20 faiz endirim</v>
      </c>
    </row>
    <row r="184" spans="1:4" x14ac:dyDescent="0.3">
      <c r="A184" s="1" t="s">
        <v>932</v>
      </c>
      <c r="B184" s="3">
        <v>1</v>
      </c>
      <c r="C184" s="3">
        <v>0.8</v>
      </c>
      <c r="D184" s="1" t="str">
        <f t="shared" si="2"/>
        <v>10 mildən çox sifarişə 30 faiz endirim</v>
      </c>
    </row>
    <row r="185" spans="1:4" x14ac:dyDescent="0.3">
      <c r="A185" s="1" t="s">
        <v>658</v>
      </c>
      <c r="B185" s="3">
        <v>1.5</v>
      </c>
      <c r="C185" s="3">
        <v>5.2</v>
      </c>
      <c r="D185" s="1" t="str">
        <f t="shared" si="2"/>
        <v>10 mildən çox sifarişə 30 faiz endirim</v>
      </c>
    </row>
    <row r="186" spans="1:4" x14ac:dyDescent="0.3">
      <c r="A186" s="1" t="s">
        <v>127</v>
      </c>
      <c r="B186" s="3">
        <v>2</v>
      </c>
      <c r="C186" s="3">
        <v>6.6999999999999993</v>
      </c>
      <c r="D186" s="1" t="str">
        <f t="shared" si="2"/>
        <v>10 mildən çox sifarişə 20 faiz endirim</v>
      </c>
    </row>
    <row r="187" spans="1:4" x14ac:dyDescent="0.3">
      <c r="A187" s="1" t="s">
        <v>554</v>
      </c>
      <c r="B187" s="3">
        <v>1.3333333333333333</v>
      </c>
      <c r="C187" s="3">
        <v>6.1333333333333337</v>
      </c>
      <c r="D187" s="1" t="str">
        <f t="shared" si="2"/>
        <v>10 mildən çox sifarişə 30 faiz endirim</v>
      </c>
    </row>
    <row r="188" spans="1:4" x14ac:dyDescent="0.3">
      <c r="A188" s="1" t="s">
        <v>271</v>
      </c>
      <c r="B188" s="3">
        <v>1.4</v>
      </c>
      <c r="C188" s="3">
        <v>5.12</v>
      </c>
      <c r="D188" s="1" t="str">
        <f t="shared" si="2"/>
        <v>10 mildən çox sifarişə 30 faiz endirim</v>
      </c>
    </row>
    <row r="189" spans="1:4" x14ac:dyDescent="0.3">
      <c r="A189" s="1" t="s">
        <v>272</v>
      </c>
      <c r="B189" s="3">
        <v>1.5</v>
      </c>
      <c r="C189" s="3">
        <v>6.7666666666666657</v>
      </c>
      <c r="D189" s="1" t="str">
        <f t="shared" si="2"/>
        <v>10 mildən çox sifarişə 30 faiz endirim</v>
      </c>
    </row>
    <row r="190" spans="1:4" x14ac:dyDescent="0.3">
      <c r="A190" s="1" t="s">
        <v>519</v>
      </c>
      <c r="B190" s="3">
        <v>1</v>
      </c>
      <c r="C190" s="3">
        <v>4.9249999999999998</v>
      </c>
      <c r="D190" s="1" t="str">
        <f t="shared" si="2"/>
        <v>10 mildən çox sifarişə 30 faiz endirim</v>
      </c>
    </row>
    <row r="191" spans="1:4" x14ac:dyDescent="0.3">
      <c r="A191" s="1" t="s">
        <v>128</v>
      </c>
      <c r="B191" s="3">
        <v>1</v>
      </c>
      <c r="C191" s="3">
        <v>2.4333333333333336</v>
      </c>
      <c r="D191" s="1" t="str">
        <f t="shared" si="2"/>
        <v>10 mildən çox sifarişə 30 faiz endirim</v>
      </c>
    </row>
    <row r="192" spans="1:4" x14ac:dyDescent="0.3">
      <c r="A192" s="1" t="s">
        <v>481</v>
      </c>
      <c r="B192" s="3">
        <v>1.6</v>
      </c>
      <c r="C192" s="3">
        <v>7.62</v>
      </c>
      <c r="D192" s="1" t="str">
        <f t="shared" si="2"/>
        <v>10 mildən çox sifarişə 20 faiz endirim</v>
      </c>
    </row>
    <row r="193" spans="1:4" x14ac:dyDescent="0.3">
      <c r="A193" s="1" t="s">
        <v>659</v>
      </c>
      <c r="B193" s="3">
        <v>1.2</v>
      </c>
      <c r="C193" s="3">
        <v>3.5799999999999996</v>
      </c>
      <c r="D193" s="1" t="str">
        <f t="shared" si="2"/>
        <v>10 mildən çox sifarişə 30 faiz endirim</v>
      </c>
    </row>
    <row r="194" spans="1:4" x14ac:dyDescent="0.3">
      <c r="A194" s="1" t="s">
        <v>780</v>
      </c>
      <c r="B194" s="3">
        <v>1</v>
      </c>
      <c r="C194" s="3">
        <v>4.8</v>
      </c>
      <c r="D194" s="1" t="str">
        <f t="shared" si="2"/>
        <v>10 mildən çox sifarişə 30 faiz endirim</v>
      </c>
    </row>
    <row r="195" spans="1:4" x14ac:dyDescent="0.3">
      <c r="A195" s="1" t="s">
        <v>129</v>
      </c>
      <c r="B195" s="3">
        <v>2</v>
      </c>
      <c r="C195" s="3">
        <v>7.3749999999999991</v>
      </c>
      <c r="D195" s="1" t="str">
        <f t="shared" ref="D195:D258" si="3">IF( B195&lt;1, "gündəlik bir gedişə 30% endirim", IF(B195&gt;1.5, "10 mildən çox sifarişə 20 faiz endirim", IF(C195&lt;7, "10 mildən çox sifarişə 30 faiz endirim", "tətbiq edilmir") ))</f>
        <v>10 mildən çox sifarişə 20 faiz endirim</v>
      </c>
    </row>
    <row r="196" spans="1:4" x14ac:dyDescent="0.3">
      <c r="A196" s="1" t="s">
        <v>555</v>
      </c>
      <c r="B196" s="3">
        <v>1.5</v>
      </c>
      <c r="C196" s="3">
        <v>11.049999999999999</v>
      </c>
      <c r="D196" s="1" t="str">
        <f t="shared" si="3"/>
        <v>tətbiq edilmir</v>
      </c>
    </row>
    <row r="197" spans="1:4" x14ac:dyDescent="0.3">
      <c r="A197" s="1" t="s">
        <v>660</v>
      </c>
      <c r="B197" s="3">
        <v>1</v>
      </c>
      <c r="C197" s="3">
        <v>2.15</v>
      </c>
      <c r="D197" s="1" t="str">
        <f t="shared" si="3"/>
        <v>10 mildən çox sifarişə 30 faiz endirim</v>
      </c>
    </row>
    <row r="198" spans="1:4" x14ac:dyDescent="0.3">
      <c r="A198" s="1" t="s">
        <v>781</v>
      </c>
      <c r="B198" s="3">
        <v>1</v>
      </c>
      <c r="C198" s="3">
        <v>1.75</v>
      </c>
      <c r="D198" s="1" t="str">
        <f t="shared" si="3"/>
        <v>10 mildən çox sifarişə 30 faiz endirim</v>
      </c>
    </row>
    <row r="199" spans="1:4" x14ac:dyDescent="0.3">
      <c r="A199" s="1" t="s">
        <v>273</v>
      </c>
      <c r="B199" s="3">
        <v>1</v>
      </c>
      <c r="C199" s="3">
        <v>4.2</v>
      </c>
      <c r="D199" s="1" t="str">
        <f t="shared" si="3"/>
        <v>10 mildən çox sifarişə 30 faiz endirim</v>
      </c>
    </row>
    <row r="200" spans="1:4" x14ac:dyDescent="0.3">
      <c r="A200" s="1" t="s">
        <v>593</v>
      </c>
      <c r="B200" s="3">
        <v>2.6666666666666665</v>
      </c>
      <c r="C200" s="3">
        <v>4.833333333333333</v>
      </c>
      <c r="D200" s="1" t="str">
        <f t="shared" si="3"/>
        <v>10 mildən çox sifarişə 20 faiz endirim</v>
      </c>
    </row>
    <row r="201" spans="1:4" x14ac:dyDescent="0.3">
      <c r="A201" s="1" t="s">
        <v>130</v>
      </c>
      <c r="B201" s="3">
        <v>1.6666666666666667</v>
      </c>
      <c r="C201" s="3">
        <v>6.2166666666666659</v>
      </c>
      <c r="D201" s="1" t="str">
        <f t="shared" si="3"/>
        <v>10 mildən çox sifarişə 20 faiz endirim</v>
      </c>
    </row>
    <row r="202" spans="1:4" x14ac:dyDescent="0.3">
      <c r="A202" s="1" t="s">
        <v>623</v>
      </c>
      <c r="B202" s="3">
        <v>1.5</v>
      </c>
      <c r="C202" s="3">
        <v>1</v>
      </c>
      <c r="D202" s="1" t="str">
        <f t="shared" si="3"/>
        <v>10 mildən çox sifarişə 30 faiz endirim</v>
      </c>
    </row>
    <row r="203" spans="1:4" x14ac:dyDescent="0.3">
      <c r="A203" s="1" t="s">
        <v>386</v>
      </c>
      <c r="B203" s="3">
        <v>1.5</v>
      </c>
      <c r="C203" s="3">
        <v>6.4333333333333336</v>
      </c>
      <c r="D203" s="1" t="str">
        <f t="shared" si="3"/>
        <v>10 mildən çox sifarişə 30 faiz endirim</v>
      </c>
    </row>
    <row r="204" spans="1:4" x14ac:dyDescent="0.3">
      <c r="A204" s="1" t="s">
        <v>661</v>
      </c>
      <c r="B204" s="3">
        <v>2</v>
      </c>
      <c r="C204" s="3">
        <v>2.95</v>
      </c>
      <c r="D204" s="1" t="str">
        <f t="shared" si="3"/>
        <v>10 mildən çox sifarişə 20 faiz endirim</v>
      </c>
    </row>
    <row r="205" spans="1:4" x14ac:dyDescent="0.3">
      <c r="A205" s="1" t="s">
        <v>594</v>
      </c>
      <c r="B205" s="3">
        <v>1</v>
      </c>
      <c r="C205" s="3">
        <v>18.7</v>
      </c>
      <c r="D205" s="1" t="str">
        <f t="shared" si="3"/>
        <v>tətbiq edilmir</v>
      </c>
    </row>
    <row r="206" spans="1:4" x14ac:dyDescent="0.3">
      <c r="A206" s="1" t="s">
        <v>916</v>
      </c>
      <c r="B206" s="3">
        <v>1</v>
      </c>
      <c r="C206" s="3">
        <v>3.2</v>
      </c>
      <c r="D206" s="1" t="str">
        <f t="shared" si="3"/>
        <v>10 mildən çox sifarişə 30 faiz endirim</v>
      </c>
    </row>
    <row r="207" spans="1:4" x14ac:dyDescent="0.3">
      <c r="A207" s="1" t="s">
        <v>923</v>
      </c>
      <c r="B207" s="3">
        <v>1</v>
      </c>
      <c r="C207" s="3">
        <v>3.5</v>
      </c>
      <c r="D207" s="1" t="str">
        <f t="shared" si="3"/>
        <v>10 mildən çox sifarişə 30 faiz endirim</v>
      </c>
    </row>
    <row r="208" spans="1:4" x14ac:dyDescent="0.3">
      <c r="A208" s="1" t="s">
        <v>910</v>
      </c>
      <c r="B208" s="3">
        <v>1.3333333333333333</v>
      </c>
      <c r="C208" s="3">
        <v>1.0333333333333334</v>
      </c>
      <c r="D208" s="1" t="str">
        <f t="shared" si="3"/>
        <v>10 mildən çox sifarişə 30 faiz endirim</v>
      </c>
    </row>
    <row r="209" spans="1:4" x14ac:dyDescent="0.3">
      <c r="A209" s="1" t="s">
        <v>520</v>
      </c>
      <c r="B209" s="3">
        <v>1.6666666666666667</v>
      </c>
      <c r="C209" s="3">
        <v>6</v>
      </c>
      <c r="D209" s="1" t="str">
        <f t="shared" si="3"/>
        <v>10 mildən çox sifarişə 20 faiz endirim</v>
      </c>
    </row>
    <row r="210" spans="1:4" x14ac:dyDescent="0.3">
      <c r="A210" s="1" t="s">
        <v>913</v>
      </c>
      <c r="B210" s="3">
        <v>1</v>
      </c>
      <c r="C210" s="3">
        <v>3.85</v>
      </c>
      <c r="D210" s="1" t="str">
        <f t="shared" si="3"/>
        <v>10 mildən çox sifarişə 30 faiz endirim</v>
      </c>
    </row>
    <row r="211" spans="1:4" x14ac:dyDescent="0.3">
      <c r="A211" s="1" t="s">
        <v>387</v>
      </c>
      <c r="B211" s="3">
        <v>2.5</v>
      </c>
      <c r="C211" s="3">
        <v>15.683333333333332</v>
      </c>
      <c r="D211" s="1" t="str">
        <f t="shared" si="3"/>
        <v>10 mildən çox sifarişə 20 faiz endirim</v>
      </c>
    </row>
    <row r="212" spans="1:4" x14ac:dyDescent="0.3">
      <c r="A212" s="1" t="s">
        <v>131</v>
      </c>
      <c r="B212" s="3">
        <v>1.5</v>
      </c>
      <c r="C212" s="3">
        <v>6.85</v>
      </c>
      <c r="D212" s="1" t="str">
        <f t="shared" si="3"/>
        <v>10 mildən çox sifarişə 30 faiz endirim</v>
      </c>
    </row>
    <row r="213" spans="1:4" x14ac:dyDescent="0.3">
      <c r="A213" s="1" t="s">
        <v>328</v>
      </c>
      <c r="B213" s="3">
        <v>1.6666666666666667</v>
      </c>
      <c r="C213" s="3">
        <v>6.7333333333333334</v>
      </c>
      <c r="D213" s="1" t="str">
        <f t="shared" si="3"/>
        <v>10 mildən çox sifarişə 20 faiz endirim</v>
      </c>
    </row>
    <row r="214" spans="1:4" x14ac:dyDescent="0.3">
      <c r="A214" s="1" t="s">
        <v>825</v>
      </c>
      <c r="B214" s="3">
        <v>1</v>
      </c>
      <c r="C214" s="3">
        <v>0.9</v>
      </c>
      <c r="D214" s="1" t="str">
        <f t="shared" si="3"/>
        <v>10 mildən çox sifarişə 30 faiz endirim</v>
      </c>
    </row>
    <row r="215" spans="1:4" x14ac:dyDescent="0.3">
      <c r="A215" s="1" t="s">
        <v>624</v>
      </c>
      <c r="B215" s="3">
        <v>1.6</v>
      </c>
      <c r="C215" s="3">
        <v>4.7</v>
      </c>
      <c r="D215" s="1" t="str">
        <f t="shared" si="3"/>
        <v>10 mildən çox sifarişə 20 faiz endirim</v>
      </c>
    </row>
    <row r="216" spans="1:4" x14ac:dyDescent="0.3">
      <c r="A216" s="1" t="s">
        <v>440</v>
      </c>
      <c r="B216" s="3">
        <v>1.2</v>
      </c>
      <c r="C216" s="3">
        <v>3.2</v>
      </c>
      <c r="D216" s="1" t="str">
        <f t="shared" si="3"/>
        <v>10 mildən çox sifarişə 30 faiz endirim</v>
      </c>
    </row>
    <row r="217" spans="1:4" x14ac:dyDescent="0.3">
      <c r="A217" s="1" t="s">
        <v>662</v>
      </c>
      <c r="B217" s="3">
        <v>1.2</v>
      </c>
      <c r="C217" s="3">
        <v>8.14</v>
      </c>
      <c r="D217" s="1" t="str">
        <f t="shared" si="3"/>
        <v>tətbiq edilmir</v>
      </c>
    </row>
    <row r="218" spans="1:4" x14ac:dyDescent="0.3">
      <c r="A218" s="1" t="s">
        <v>226</v>
      </c>
      <c r="B218" s="3">
        <v>2.4</v>
      </c>
      <c r="C218" s="3">
        <v>7.26</v>
      </c>
      <c r="D218" s="1" t="str">
        <f t="shared" si="3"/>
        <v>10 mildən çox sifarişə 20 faiz endirim</v>
      </c>
    </row>
    <row r="219" spans="1:4" x14ac:dyDescent="0.3">
      <c r="A219" s="1" t="s">
        <v>701</v>
      </c>
      <c r="B219" s="3">
        <v>1</v>
      </c>
      <c r="C219" s="3">
        <v>8.2000000000000011</v>
      </c>
      <c r="D219" s="1" t="str">
        <f t="shared" si="3"/>
        <v>tətbiq edilmir</v>
      </c>
    </row>
    <row r="220" spans="1:4" x14ac:dyDescent="0.3">
      <c r="A220" s="1" t="s">
        <v>894</v>
      </c>
      <c r="B220" s="3">
        <v>1.3333333333333333</v>
      </c>
      <c r="C220" s="3">
        <v>9.1333333333333346</v>
      </c>
      <c r="D220" s="1" t="str">
        <f t="shared" si="3"/>
        <v>tətbiq edilmir</v>
      </c>
    </row>
    <row r="221" spans="1:4" x14ac:dyDescent="0.3">
      <c r="A221" s="1" t="s">
        <v>917</v>
      </c>
      <c r="B221" s="3">
        <v>1.3333333333333333</v>
      </c>
      <c r="C221" s="3">
        <v>2.2333333333333334</v>
      </c>
      <c r="D221" s="1" t="str">
        <f t="shared" si="3"/>
        <v>10 mildən çox sifarişə 30 faiz endirim</v>
      </c>
    </row>
    <row r="222" spans="1:4" x14ac:dyDescent="0.3">
      <c r="A222" s="1" t="s">
        <v>274</v>
      </c>
      <c r="B222" s="3">
        <v>2.25</v>
      </c>
      <c r="C222" s="3">
        <v>14.3</v>
      </c>
      <c r="D222" s="1" t="str">
        <f t="shared" si="3"/>
        <v>10 mildən çox sifarişə 20 faiz endirim</v>
      </c>
    </row>
    <row r="223" spans="1:4" x14ac:dyDescent="0.3">
      <c r="A223" s="1" t="s">
        <v>721</v>
      </c>
      <c r="B223" s="3">
        <v>1.8</v>
      </c>
      <c r="C223" s="3">
        <v>8.84</v>
      </c>
      <c r="D223" s="1" t="str">
        <f t="shared" si="3"/>
        <v>10 mildən çox sifarişə 20 faiz endirim</v>
      </c>
    </row>
    <row r="224" spans="1:4" x14ac:dyDescent="0.3">
      <c r="A224" s="1" t="s">
        <v>329</v>
      </c>
      <c r="B224" s="3">
        <v>1.3333333333333333</v>
      </c>
      <c r="C224" s="3">
        <v>2.5333333333333337</v>
      </c>
      <c r="D224" s="1" t="str">
        <f t="shared" si="3"/>
        <v>10 mildən çox sifarişə 30 faiz endirim</v>
      </c>
    </row>
    <row r="225" spans="1:4" x14ac:dyDescent="0.3">
      <c r="A225" s="1" t="s">
        <v>72</v>
      </c>
      <c r="B225" s="3">
        <v>2</v>
      </c>
      <c r="C225" s="3">
        <v>6.7333333333333334</v>
      </c>
      <c r="D225" s="1" t="str">
        <f t="shared" si="3"/>
        <v>10 mildən çox sifarişə 20 faiz endirim</v>
      </c>
    </row>
    <row r="226" spans="1:4" x14ac:dyDescent="0.3">
      <c r="A226" s="1" t="s">
        <v>441</v>
      </c>
      <c r="B226" s="3">
        <v>1.25</v>
      </c>
      <c r="C226" s="3">
        <v>8.8999999999999986</v>
      </c>
      <c r="D226" s="1" t="str">
        <f t="shared" si="3"/>
        <v>tətbiq edilmir</v>
      </c>
    </row>
    <row r="227" spans="1:4" x14ac:dyDescent="0.3">
      <c r="A227" s="1" t="s">
        <v>625</v>
      </c>
      <c r="B227" s="3">
        <v>1.2</v>
      </c>
      <c r="C227" s="3">
        <v>8.620000000000001</v>
      </c>
      <c r="D227" s="1" t="str">
        <f t="shared" si="3"/>
        <v>tətbiq edilmir</v>
      </c>
    </row>
    <row r="228" spans="1:4" x14ac:dyDescent="0.3">
      <c r="A228" s="1" t="s">
        <v>388</v>
      </c>
      <c r="B228" s="3">
        <v>1.5</v>
      </c>
      <c r="C228" s="3">
        <v>6.15</v>
      </c>
      <c r="D228" s="1" t="str">
        <f t="shared" si="3"/>
        <v>10 mildən çox sifarişə 30 faiz endirim</v>
      </c>
    </row>
    <row r="229" spans="1:4" x14ac:dyDescent="0.3">
      <c r="A229" s="1" t="s">
        <v>132</v>
      </c>
      <c r="B229" s="3">
        <v>1.3333333333333333</v>
      </c>
      <c r="C229" s="3">
        <v>3.9</v>
      </c>
      <c r="D229" s="1" t="str">
        <f t="shared" si="3"/>
        <v>10 mildən çox sifarişə 30 faiz endirim</v>
      </c>
    </row>
    <row r="230" spans="1:4" x14ac:dyDescent="0.3">
      <c r="A230" s="1" t="s">
        <v>663</v>
      </c>
      <c r="B230" s="3">
        <v>1</v>
      </c>
      <c r="C230" s="3">
        <v>12.1</v>
      </c>
      <c r="D230" s="1" t="str">
        <f t="shared" si="3"/>
        <v>tətbiq edilmir</v>
      </c>
    </row>
    <row r="231" spans="1:4" x14ac:dyDescent="0.3">
      <c r="A231" s="1" t="s">
        <v>389</v>
      </c>
      <c r="B231" s="3">
        <v>1.6</v>
      </c>
      <c r="C231" s="3">
        <v>7.4599999999999991</v>
      </c>
      <c r="D231" s="1" t="str">
        <f t="shared" si="3"/>
        <v>10 mildən çox sifarişə 20 faiz endirim</v>
      </c>
    </row>
    <row r="232" spans="1:4" x14ac:dyDescent="0.3">
      <c r="A232" s="1" t="s">
        <v>722</v>
      </c>
      <c r="B232" s="3">
        <v>1</v>
      </c>
      <c r="C232" s="3">
        <v>4.2333333333333334</v>
      </c>
      <c r="D232" s="1" t="str">
        <f t="shared" si="3"/>
        <v>10 mildən çox sifarişə 30 faiz endirim</v>
      </c>
    </row>
    <row r="233" spans="1:4" x14ac:dyDescent="0.3">
      <c r="A233" s="1" t="s">
        <v>133</v>
      </c>
      <c r="B233" s="3">
        <v>1</v>
      </c>
      <c r="C233" s="3">
        <v>2.35</v>
      </c>
      <c r="D233" s="1" t="str">
        <f t="shared" si="3"/>
        <v>10 mildən çox sifarişə 30 faiz endirim</v>
      </c>
    </row>
    <row r="234" spans="1:4" x14ac:dyDescent="0.3">
      <c r="A234" s="1" t="s">
        <v>330</v>
      </c>
      <c r="B234" s="3">
        <v>2</v>
      </c>
      <c r="C234" s="3">
        <v>10.375</v>
      </c>
      <c r="D234" s="1" t="str">
        <f t="shared" si="3"/>
        <v>10 mildən çox sifarişə 20 faiz endirim</v>
      </c>
    </row>
    <row r="235" spans="1:4" x14ac:dyDescent="0.3">
      <c r="A235" s="1" t="s">
        <v>275</v>
      </c>
      <c r="B235" s="3">
        <v>1.4</v>
      </c>
      <c r="C235" s="3">
        <v>4.38</v>
      </c>
      <c r="D235" s="1" t="str">
        <f t="shared" si="3"/>
        <v>10 mildən çox sifarişə 30 faiz endirim</v>
      </c>
    </row>
    <row r="236" spans="1:4" x14ac:dyDescent="0.3">
      <c r="A236" s="1" t="s">
        <v>331</v>
      </c>
      <c r="B236" s="3">
        <v>2.3333333333333335</v>
      </c>
      <c r="C236" s="3">
        <v>16.2</v>
      </c>
      <c r="D236" s="1" t="str">
        <f t="shared" si="3"/>
        <v>10 mildən çox sifarişə 20 faiz endirim</v>
      </c>
    </row>
    <row r="237" spans="1:4" x14ac:dyDescent="0.3">
      <c r="A237" s="1" t="s">
        <v>556</v>
      </c>
      <c r="B237" s="3">
        <v>2</v>
      </c>
      <c r="C237" s="3">
        <v>8.1750000000000007</v>
      </c>
      <c r="D237" s="1" t="str">
        <f t="shared" si="3"/>
        <v>10 mildən çox sifarişə 20 faiz endirim</v>
      </c>
    </row>
    <row r="238" spans="1:4" x14ac:dyDescent="0.3">
      <c r="A238" s="1" t="s">
        <v>390</v>
      </c>
      <c r="B238" s="3">
        <v>1.25</v>
      </c>
      <c r="C238" s="3">
        <v>6.2750000000000004</v>
      </c>
      <c r="D238" s="1" t="str">
        <f t="shared" si="3"/>
        <v>10 mildən çox sifarişə 30 faiz endirim</v>
      </c>
    </row>
    <row r="239" spans="1:4" x14ac:dyDescent="0.3">
      <c r="A239" s="1" t="s">
        <v>782</v>
      </c>
      <c r="B239" s="3">
        <v>1.6</v>
      </c>
      <c r="C239" s="3">
        <v>15.6</v>
      </c>
      <c r="D239" s="1" t="str">
        <f t="shared" si="3"/>
        <v>10 mildən çox sifarişə 20 faiz endirim</v>
      </c>
    </row>
    <row r="240" spans="1:4" x14ac:dyDescent="0.3">
      <c r="A240" s="1" t="s">
        <v>73</v>
      </c>
      <c r="B240" s="3">
        <v>1</v>
      </c>
      <c r="C240" s="3">
        <v>2.5333333333333337</v>
      </c>
      <c r="D240" s="1" t="str">
        <f t="shared" si="3"/>
        <v>10 mildən çox sifarişə 30 faiz endirim</v>
      </c>
    </row>
    <row r="241" spans="1:4" x14ac:dyDescent="0.3">
      <c r="A241" s="1" t="s">
        <v>664</v>
      </c>
      <c r="B241" s="3">
        <v>1.3333333333333333</v>
      </c>
      <c r="C241" s="3">
        <v>4.6000000000000005</v>
      </c>
      <c r="D241" s="1" t="str">
        <f t="shared" si="3"/>
        <v>10 mildən çox sifarişə 30 faiz endirim</v>
      </c>
    </row>
    <row r="242" spans="1:4" x14ac:dyDescent="0.3">
      <c r="A242" s="1" t="s">
        <v>276</v>
      </c>
      <c r="B242" s="3">
        <v>1.5</v>
      </c>
      <c r="C242" s="3">
        <v>8.2333333333333343</v>
      </c>
      <c r="D242" s="1" t="str">
        <f t="shared" si="3"/>
        <v>tətbiq edilmir</v>
      </c>
    </row>
    <row r="243" spans="1:4" x14ac:dyDescent="0.3">
      <c r="A243" s="1" t="s">
        <v>557</v>
      </c>
      <c r="B243" s="3">
        <v>1.5</v>
      </c>
      <c r="C243" s="3">
        <v>3.0750000000000002</v>
      </c>
      <c r="D243" s="1" t="str">
        <f t="shared" si="3"/>
        <v>10 mildən çox sifarişə 30 faiz endirim</v>
      </c>
    </row>
    <row r="244" spans="1:4" x14ac:dyDescent="0.3">
      <c r="A244" s="1" t="s">
        <v>899</v>
      </c>
      <c r="B244" s="3">
        <v>1.5</v>
      </c>
      <c r="C244" s="3">
        <v>6.6</v>
      </c>
      <c r="D244" s="1" t="str">
        <f t="shared" si="3"/>
        <v>10 mildən çox sifarişə 30 faiz endirim</v>
      </c>
    </row>
    <row r="245" spans="1:4" x14ac:dyDescent="0.3">
      <c r="A245" s="1" t="s">
        <v>702</v>
      </c>
      <c r="B245" s="3">
        <v>1.5</v>
      </c>
      <c r="C245" s="3">
        <v>4.833333333333333</v>
      </c>
      <c r="D245" s="1" t="str">
        <f t="shared" si="3"/>
        <v>10 mildən çox sifarişə 30 faiz endirim</v>
      </c>
    </row>
    <row r="246" spans="1:4" x14ac:dyDescent="0.3">
      <c r="A246" s="1" t="s">
        <v>277</v>
      </c>
      <c r="B246" s="3">
        <v>1.6666666666666667</v>
      </c>
      <c r="C246" s="3">
        <v>3.7666666666666671</v>
      </c>
      <c r="D246" s="1" t="str">
        <f t="shared" si="3"/>
        <v>10 mildən çox sifarişə 20 faiz endirim</v>
      </c>
    </row>
    <row r="247" spans="1:4" x14ac:dyDescent="0.3">
      <c r="A247" s="1" t="s">
        <v>810</v>
      </c>
      <c r="B247" s="3">
        <v>1.5</v>
      </c>
      <c r="C247" s="3">
        <v>17</v>
      </c>
      <c r="D247" s="1" t="str">
        <f t="shared" si="3"/>
        <v>tətbiq edilmir</v>
      </c>
    </row>
    <row r="248" spans="1:4" x14ac:dyDescent="0.3">
      <c r="A248" s="1" t="s">
        <v>665</v>
      </c>
      <c r="B248" s="3">
        <v>3</v>
      </c>
      <c r="C248" s="3">
        <v>14.9</v>
      </c>
      <c r="D248" s="1" t="str">
        <f t="shared" si="3"/>
        <v>10 mildən çox sifarişə 20 faiz endirim</v>
      </c>
    </row>
    <row r="249" spans="1:4" x14ac:dyDescent="0.3">
      <c r="A249" s="1" t="s">
        <v>626</v>
      </c>
      <c r="B249" s="3">
        <v>1.3333333333333333</v>
      </c>
      <c r="C249" s="3">
        <v>3.5333333333333332</v>
      </c>
      <c r="D249" s="1" t="str">
        <f t="shared" si="3"/>
        <v>10 mildən çox sifarişə 30 faiz endirim</v>
      </c>
    </row>
    <row r="250" spans="1:4" x14ac:dyDescent="0.3">
      <c r="A250" s="1" t="s">
        <v>794</v>
      </c>
      <c r="B250" s="3">
        <v>1</v>
      </c>
      <c r="C250" s="3">
        <v>3.84</v>
      </c>
      <c r="D250" s="1" t="str">
        <f t="shared" si="3"/>
        <v>10 mildən çox sifarişə 30 faiz endirim</v>
      </c>
    </row>
    <row r="251" spans="1:4" x14ac:dyDescent="0.3">
      <c r="A251" s="1" t="s">
        <v>840</v>
      </c>
      <c r="B251" s="3">
        <v>1.5</v>
      </c>
      <c r="C251" s="3">
        <v>7.1000000000000005</v>
      </c>
      <c r="D251" s="1" t="str">
        <f t="shared" si="3"/>
        <v>tətbiq edilmir</v>
      </c>
    </row>
    <row r="252" spans="1:4" x14ac:dyDescent="0.3">
      <c r="A252" s="1" t="s">
        <v>332</v>
      </c>
      <c r="B252" s="3">
        <v>1.25</v>
      </c>
      <c r="C252" s="3">
        <v>6.0249999999999995</v>
      </c>
      <c r="D252" s="1" t="str">
        <f t="shared" si="3"/>
        <v>10 mildən çox sifarişə 30 faiz endirim</v>
      </c>
    </row>
    <row r="253" spans="1:4" x14ac:dyDescent="0.3">
      <c r="A253" s="1" t="s">
        <v>689</v>
      </c>
      <c r="B253" s="3">
        <v>1</v>
      </c>
      <c r="C253" s="3">
        <v>2.25</v>
      </c>
      <c r="D253" s="1" t="str">
        <f t="shared" si="3"/>
        <v>10 mildən çox sifarişə 30 faiz endirim</v>
      </c>
    </row>
    <row r="254" spans="1:4" x14ac:dyDescent="0.3">
      <c r="A254" s="1" t="s">
        <v>741</v>
      </c>
      <c r="B254" s="3">
        <v>1.4</v>
      </c>
      <c r="C254" s="3">
        <v>7.8</v>
      </c>
      <c r="D254" s="1" t="str">
        <f t="shared" si="3"/>
        <v>tətbiq edilmir</v>
      </c>
    </row>
    <row r="255" spans="1:4" x14ac:dyDescent="0.3">
      <c r="A255" s="1" t="s">
        <v>278</v>
      </c>
      <c r="B255" s="3">
        <v>1.5</v>
      </c>
      <c r="C255" s="3">
        <v>6.9</v>
      </c>
      <c r="D255" s="1" t="str">
        <f t="shared" si="3"/>
        <v>10 mildən çox sifarişə 30 faiz endirim</v>
      </c>
    </row>
    <row r="256" spans="1:4" x14ac:dyDescent="0.3">
      <c r="A256" s="1" t="s">
        <v>134</v>
      </c>
      <c r="B256" s="3">
        <v>1.1666666666666667</v>
      </c>
      <c r="C256" s="3">
        <v>4.5166666666666666</v>
      </c>
      <c r="D256" s="1" t="str">
        <f t="shared" si="3"/>
        <v>10 mildən çox sifarişə 30 faiz endirim</v>
      </c>
    </row>
    <row r="257" spans="1:4" x14ac:dyDescent="0.3">
      <c r="A257" s="1" t="s">
        <v>442</v>
      </c>
      <c r="B257" s="3">
        <v>1</v>
      </c>
      <c r="C257" s="3">
        <v>3.4</v>
      </c>
      <c r="D257" s="1" t="str">
        <f t="shared" si="3"/>
        <v>10 mildən çox sifarişə 30 faiz endirim</v>
      </c>
    </row>
    <row r="258" spans="1:4" x14ac:dyDescent="0.3">
      <c r="A258" s="1" t="s">
        <v>391</v>
      </c>
      <c r="B258" s="3">
        <v>1</v>
      </c>
      <c r="C258" s="3">
        <v>2.1</v>
      </c>
      <c r="D258" s="1" t="str">
        <f t="shared" si="3"/>
        <v>10 mildən çox sifarişə 30 faiz endirim</v>
      </c>
    </row>
    <row r="259" spans="1:4" x14ac:dyDescent="0.3">
      <c r="A259" s="1" t="s">
        <v>931</v>
      </c>
      <c r="B259" s="3">
        <v>1</v>
      </c>
      <c r="C259" s="3">
        <v>3.5</v>
      </c>
      <c r="D259" s="1" t="str">
        <f t="shared" ref="D259:D322" si="4">IF( B259&lt;1, "gündəlik bir gedişə 30% endirim", IF(B259&gt;1.5, "10 mildən çox sifarişə 20 faiz endirim", IF(C259&lt;7, "10 mildən çox sifarişə 30 faiz endirim", "tətbiq edilmir") ))</f>
        <v>10 mildən çox sifarişə 30 faiz endirim</v>
      </c>
    </row>
    <row r="260" spans="1:4" x14ac:dyDescent="0.3">
      <c r="A260" s="1" t="s">
        <v>558</v>
      </c>
      <c r="B260" s="3">
        <v>1.3333333333333333</v>
      </c>
      <c r="C260" s="3">
        <v>1.7</v>
      </c>
      <c r="D260" s="1" t="str">
        <f t="shared" si="4"/>
        <v>10 mildən çox sifarişə 30 faiz endirim</v>
      </c>
    </row>
    <row r="261" spans="1:4" x14ac:dyDescent="0.3">
      <c r="A261" s="1" t="s">
        <v>841</v>
      </c>
      <c r="B261" s="3">
        <v>1</v>
      </c>
      <c r="C261" s="3">
        <v>3.1399999999999997</v>
      </c>
      <c r="D261" s="1" t="str">
        <f t="shared" si="4"/>
        <v>10 mildən çox sifarişə 30 faiz endirim</v>
      </c>
    </row>
    <row r="262" spans="1:4" x14ac:dyDescent="0.3">
      <c r="A262" s="1" t="s">
        <v>333</v>
      </c>
      <c r="B262" s="3">
        <v>1.6</v>
      </c>
      <c r="C262" s="3">
        <v>4.32</v>
      </c>
      <c r="D262" s="1" t="str">
        <f t="shared" si="4"/>
        <v>10 mildən çox sifarişə 20 faiz endirim</v>
      </c>
    </row>
    <row r="263" spans="1:4" x14ac:dyDescent="0.3">
      <c r="A263" s="1" t="s">
        <v>135</v>
      </c>
      <c r="B263" s="3">
        <v>2.2000000000000002</v>
      </c>
      <c r="C263" s="3">
        <v>5.9999999999999991</v>
      </c>
      <c r="D263" s="1" t="str">
        <f t="shared" si="4"/>
        <v>10 mildən çox sifarişə 20 faiz endirim</v>
      </c>
    </row>
    <row r="264" spans="1:4" x14ac:dyDescent="0.3">
      <c r="A264" s="1" t="s">
        <v>136</v>
      </c>
      <c r="B264" s="3">
        <v>1.6666666666666667</v>
      </c>
      <c r="C264" s="3">
        <v>4.8166666666666664</v>
      </c>
      <c r="D264" s="1" t="str">
        <f t="shared" si="4"/>
        <v>10 mildən çox sifarişə 20 faiz endirim</v>
      </c>
    </row>
    <row r="265" spans="1:4" x14ac:dyDescent="0.3">
      <c r="A265" s="1" t="s">
        <v>883</v>
      </c>
      <c r="B265" s="3">
        <v>1.25</v>
      </c>
      <c r="C265" s="3">
        <v>8.5749999999999993</v>
      </c>
      <c r="D265" s="1" t="str">
        <f t="shared" si="4"/>
        <v>tətbiq edilmir</v>
      </c>
    </row>
    <row r="266" spans="1:4" x14ac:dyDescent="0.3">
      <c r="A266" s="1" t="s">
        <v>482</v>
      </c>
      <c r="B266" s="3">
        <v>2</v>
      </c>
      <c r="C266" s="3">
        <v>6.5600000000000005</v>
      </c>
      <c r="D266" s="1" t="str">
        <f t="shared" si="4"/>
        <v>10 mildən çox sifarişə 20 faiz endirim</v>
      </c>
    </row>
    <row r="267" spans="1:4" x14ac:dyDescent="0.3">
      <c r="A267" s="1" t="s">
        <v>443</v>
      </c>
      <c r="B267" s="3">
        <v>1.6</v>
      </c>
      <c r="C267" s="3">
        <v>2.72</v>
      </c>
      <c r="D267" s="1" t="str">
        <f t="shared" si="4"/>
        <v>10 mildən çox sifarişə 20 faiz endirim</v>
      </c>
    </row>
    <row r="268" spans="1:4" x14ac:dyDescent="0.3">
      <c r="A268" s="1" t="s">
        <v>334</v>
      </c>
      <c r="B268" s="3">
        <v>1.1666666666666667</v>
      </c>
      <c r="C268" s="3">
        <v>1.7666666666666666</v>
      </c>
      <c r="D268" s="1" t="str">
        <f t="shared" si="4"/>
        <v>10 mildən çox sifarişə 30 faiz endirim</v>
      </c>
    </row>
    <row r="269" spans="1:4" x14ac:dyDescent="0.3">
      <c r="A269" s="1" t="s">
        <v>559</v>
      </c>
      <c r="B269" s="3">
        <v>1.3333333333333333</v>
      </c>
      <c r="C269" s="3">
        <v>2.1666666666666665</v>
      </c>
      <c r="D269" s="1" t="str">
        <f t="shared" si="4"/>
        <v>10 mildən çox sifarişə 30 faiz endirim</v>
      </c>
    </row>
    <row r="270" spans="1:4" x14ac:dyDescent="0.3">
      <c r="A270" s="1" t="s">
        <v>137</v>
      </c>
      <c r="B270" s="3">
        <v>2.2000000000000002</v>
      </c>
      <c r="C270" s="3">
        <v>7.74</v>
      </c>
      <c r="D270" s="1" t="str">
        <f t="shared" si="4"/>
        <v>10 mildən çox sifarişə 20 faiz endirim</v>
      </c>
    </row>
    <row r="271" spans="1:4" x14ac:dyDescent="0.3">
      <c r="A271" s="1" t="s">
        <v>723</v>
      </c>
      <c r="B271" s="3">
        <v>1.5</v>
      </c>
      <c r="C271" s="3">
        <v>4.5500000000000007</v>
      </c>
      <c r="D271" s="1" t="str">
        <f t="shared" si="4"/>
        <v>10 mildən çox sifarişə 30 faiz endirim</v>
      </c>
    </row>
    <row r="272" spans="1:4" x14ac:dyDescent="0.3">
      <c r="A272" s="1" t="s">
        <v>911</v>
      </c>
      <c r="B272" s="3">
        <v>1</v>
      </c>
      <c r="C272" s="3">
        <v>4.5333333333333341</v>
      </c>
      <c r="D272" s="1" t="str">
        <f t="shared" si="4"/>
        <v>10 mildən çox sifarişə 30 faiz endirim</v>
      </c>
    </row>
    <row r="273" spans="1:4" x14ac:dyDescent="0.3">
      <c r="A273" s="1" t="s">
        <v>444</v>
      </c>
      <c r="B273" s="3">
        <v>1.5</v>
      </c>
      <c r="C273" s="3">
        <v>1.0250000000000001</v>
      </c>
      <c r="D273" s="1" t="str">
        <f t="shared" si="4"/>
        <v>10 mildən çox sifarişə 30 faiz endirim</v>
      </c>
    </row>
    <row r="274" spans="1:4" x14ac:dyDescent="0.3">
      <c r="A274" s="1" t="s">
        <v>335</v>
      </c>
      <c r="B274" s="3">
        <v>1</v>
      </c>
      <c r="C274" s="3">
        <v>2.2999999999999998</v>
      </c>
      <c r="D274" s="1" t="str">
        <f t="shared" si="4"/>
        <v>10 mildən çox sifarişə 30 faiz endirim</v>
      </c>
    </row>
    <row r="275" spans="1:4" x14ac:dyDescent="0.3">
      <c r="A275" s="1" t="s">
        <v>742</v>
      </c>
      <c r="B275" s="3">
        <v>1</v>
      </c>
      <c r="C275" s="3">
        <v>4.75</v>
      </c>
      <c r="D275" s="1" t="str">
        <f t="shared" si="4"/>
        <v>10 mildən çox sifarişə 30 faiz endirim</v>
      </c>
    </row>
    <row r="276" spans="1:4" x14ac:dyDescent="0.3">
      <c r="A276" s="1" t="s">
        <v>138</v>
      </c>
      <c r="B276" s="3">
        <v>1</v>
      </c>
      <c r="C276" s="3">
        <v>3.4</v>
      </c>
      <c r="D276" s="1" t="str">
        <f t="shared" si="4"/>
        <v>10 mildən çox sifarişə 30 faiz endirim</v>
      </c>
    </row>
    <row r="277" spans="1:4" x14ac:dyDescent="0.3">
      <c r="A277" s="1" t="s">
        <v>521</v>
      </c>
      <c r="B277" s="3">
        <v>2</v>
      </c>
      <c r="C277" s="3">
        <v>9.4249999999999989</v>
      </c>
      <c r="D277" s="1" t="str">
        <f t="shared" si="4"/>
        <v>10 mildən çox sifarişə 20 faiz endirim</v>
      </c>
    </row>
    <row r="278" spans="1:4" x14ac:dyDescent="0.3">
      <c r="A278" s="1" t="s">
        <v>336</v>
      </c>
      <c r="B278" s="3">
        <v>1</v>
      </c>
      <c r="C278" s="3">
        <v>3.1750000000000003</v>
      </c>
      <c r="D278" s="1" t="str">
        <f t="shared" si="4"/>
        <v>10 mildən çox sifarişə 30 faiz endirim</v>
      </c>
    </row>
    <row r="279" spans="1:4" x14ac:dyDescent="0.3">
      <c r="A279" s="1" t="s">
        <v>826</v>
      </c>
      <c r="B279" s="3">
        <v>1</v>
      </c>
      <c r="C279" s="3">
        <v>2.4333333333333331</v>
      </c>
      <c r="D279" s="1" t="str">
        <f t="shared" si="4"/>
        <v>10 mildən çox sifarişə 30 faiz endirim</v>
      </c>
    </row>
    <row r="280" spans="1:4" x14ac:dyDescent="0.3">
      <c r="A280" s="1" t="s">
        <v>337</v>
      </c>
      <c r="B280" s="3">
        <v>1.6</v>
      </c>
      <c r="C280" s="3">
        <v>5.78</v>
      </c>
      <c r="D280" s="1" t="str">
        <f t="shared" si="4"/>
        <v>10 mildən çox sifarişə 20 faiz endirim</v>
      </c>
    </row>
    <row r="281" spans="1:4" x14ac:dyDescent="0.3">
      <c r="A281" s="1" t="s">
        <v>890</v>
      </c>
      <c r="B281" s="3">
        <v>1.5</v>
      </c>
      <c r="C281" s="3">
        <v>2.95</v>
      </c>
      <c r="D281" s="1" t="str">
        <f t="shared" si="4"/>
        <v>10 mildən çox sifarişə 30 faiz endirim</v>
      </c>
    </row>
    <row r="282" spans="1:4" x14ac:dyDescent="0.3">
      <c r="A282" s="1" t="s">
        <v>74</v>
      </c>
      <c r="B282" s="3">
        <v>1.75</v>
      </c>
      <c r="C282" s="3">
        <v>3.05</v>
      </c>
      <c r="D282" s="1" t="str">
        <f t="shared" si="4"/>
        <v>10 mildən çox sifarişə 20 faiz endirim</v>
      </c>
    </row>
    <row r="283" spans="1:4" x14ac:dyDescent="0.3">
      <c r="A283" s="1" t="s">
        <v>139</v>
      </c>
      <c r="B283" s="3">
        <v>1.8333333333333333</v>
      </c>
      <c r="C283" s="3">
        <v>6.9166666666666652</v>
      </c>
      <c r="D283" s="1" t="str">
        <f t="shared" si="4"/>
        <v>10 mildən çox sifarişə 20 faiz endirim</v>
      </c>
    </row>
    <row r="284" spans="1:4" x14ac:dyDescent="0.3">
      <c r="A284" s="1" t="s">
        <v>445</v>
      </c>
      <c r="B284" s="3">
        <v>1.6</v>
      </c>
      <c r="C284" s="3">
        <v>5.9</v>
      </c>
      <c r="D284" s="1" t="str">
        <f t="shared" si="4"/>
        <v>10 mildən çox sifarişə 20 faiz endirim</v>
      </c>
    </row>
    <row r="285" spans="1:4" x14ac:dyDescent="0.3">
      <c r="A285" s="1" t="s">
        <v>703</v>
      </c>
      <c r="B285" s="3">
        <v>1.3333333333333333</v>
      </c>
      <c r="C285" s="3">
        <v>6.5666666666666673</v>
      </c>
      <c r="D285" s="1" t="str">
        <f t="shared" si="4"/>
        <v>10 mildən çox sifarişə 30 faiz endirim</v>
      </c>
    </row>
    <row r="286" spans="1:4" x14ac:dyDescent="0.3">
      <c r="A286" s="1" t="s">
        <v>483</v>
      </c>
      <c r="B286" s="3">
        <v>1.2</v>
      </c>
      <c r="C286" s="3">
        <v>4.4000000000000004</v>
      </c>
      <c r="D286" s="1" t="str">
        <f t="shared" si="4"/>
        <v>10 mildən çox sifarişə 30 faiz endirim</v>
      </c>
    </row>
    <row r="287" spans="1:4" x14ac:dyDescent="0.3">
      <c r="A287" s="1" t="s">
        <v>392</v>
      </c>
      <c r="B287" s="3">
        <v>1.2</v>
      </c>
      <c r="C287" s="3">
        <v>6.04</v>
      </c>
      <c r="D287" s="1" t="str">
        <f t="shared" si="4"/>
        <v>10 mildən çox sifarişə 30 faiz endirim</v>
      </c>
    </row>
    <row r="288" spans="1:4" x14ac:dyDescent="0.3">
      <c r="A288" s="1" t="s">
        <v>690</v>
      </c>
      <c r="B288" s="3">
        <v>1.2</v>
      </c>
      <c r="C288" s="3">
        <v>6.8800000000000008</v>
      </c>
      <c r="D288" s="1" t="str">
        <f t="shared" si="4"/>
        <v>10 mildən çox sifarişə 30 faiz endirim</v>
      </c>
    </row>
    <row r="289" spans="1:4" x14ac:dyDescent="0.3">
      <c r="A289" s="1" t="s">
        <v>338</v>
      </c>
      <c r="B289" s="3">
        <v>1.3333333333333333</v>
      </c>
      <c r="C289" s="3">
        <v>6.6000000000000005</v>
      </c>
      <c r="D289" s="1" t="str">
        <f t="shared" si="4"/>
        <v>10 mildən çox sifarişə 30 faiz endirim</v>
      </c>
    </row>
    <row r="290" spans="1:4" x14ac:dyDescent="0.3">
      <c r="A290" s="1" t="s">
        <v>446</v>
      </c>
      <c r="B290" s="3">
        <v>2</v>
      </c>
      <c r="C290" s="3">
        <v>6.5</v>
      </c>
      <c r="D290" s="1" t="str">
        <f t="shared" si="4"/>
        <v>10 mildən çox sifarişə 20 faiz endirim</v>
      </c>
    </row>
    <row r="291" spans="1:4" x14ac:dyDescent="0.3">
      <c r="A291" s="1" t="s">
        <v>765</v>
      </c>
      <c r="B291" s="3">
        <v>1.6</v>
      </c>
      <c r="C291" s="3">
        <v>8.6</v>
      </c>
      <c r="D291" s="1" t="str">
        <f t="shared" si="4"/>
        <v>10 mildən çox sifarişə 20 faiz endirim</v>
      </c>
    </row>
    <row r="292" spans="1:4" x14ac:dyDescent="0.3">
      <c r="A292" s="1" t="s">
        <v>522</v>
      </c>
      <c r="B292" s="3">
        <v>2</v>
      </c>
      <c r="C292" s="3">
        <v>11.9</v>
      </c>
      <c r="D292" s="1" t="str">
        <f t="shared" si="4"/>
        <v>10 mildən çox sifarişə 20 faiz endirim</v>
      </c>
    </row>
    <row r="293" spans="1:4" x14ac:dyDescent="0.3">
      <c r="A293" s="1" t="s">
        <v>140</v>
      </c>
      <c r="B293" s="3">
        <v>2</v>
      </c>
      <c r="C293" s="3">
        <v>6.9</v>
      </c>
      <c r="D293" s="1" t="str">
        <f t="shared" si="4"/>
        <v>10 mildən çox sifarişə 20 faiz endirim</v>
      </c>
    </row>
    <row r="294" spans="1:4" x14ac:dyDescent="0.3">
      <c r="A294" s="1" t="s">
        <v>75</v>
      </c>
      <c r="B294" s="3">
        <v>1.5</v>
      </c>
      <c r="C294" s="3">
        <v>4.3</v>
      </c>
      <c r="D294" s="1" t="str">
        <f t="shared" si="4"/>
        <v>10 mildən çox sifarişə 30 faiz endirim</v>
      </c>
    </row>
    <row r="295" spans="1:4" x14ac:dyDescent="0.3">
      <c r="A295" s="1" t="s">
        <v>484</v>
      </c>
      <c r="B295" s="3">
        <v>1</v>
      </c>
      <c r="C295" s="3">
        <v>2.0249999999999999</v>
      </c>
      <c r="D295" s="1" t="str">
        <f t="shared" si="4"/>
        <v>10 mildən çox sifarişə 30 faiz endirim</v>
      </c>
    </row>
    <row r="296" spans="1:4" x14ac:dyDescent="0.3">
      <c r="A296" s="1" t="s">
        <v>666</v>
      </c>
      <c r="B296" s="3">
        <v>1</v>
      </c>
      <c r="C296" s="3">
        <v>2.7000000000000006</v>
      </c>
      <c r="D296" s="1" t="str">
        <f t="shared" si="4"/>
        <v>10 mildən çox sifarişə 30 faiz endirim</v>
      </c>
    </row>
    <row r="297" spans="1:4" x14ac:dyDescent="0.3">
      <c r="A297" s="1" t="s">
        <v>339</v>
      </c>
      <c r="B297" s="3">
        <v>1.25</v>
      </c>
      <c r="C297" s="3">
        <v>1.375</v>
      </c>
      <c r="D297" s="1" t="str">
        <f t="shared" si="4"/>
        <v>10 mildən çox sifarişə 30 faiz endirim</v>
      </c>
    </row>
    <row r="298" spans="1:4" x14ac:dyDescent="0.3">
      <c r="A298" s="1" t="s">
        <v>485</v>
      </c>
      <c r="B298" s="3">
        <v>1.25</v>
      </c>
      <c r="C298" s="3">
        <v>7.35</v>
      </c>
      <c r="D298" s="1" t="str">
        <f t="shared" si="4"/>
        <v>tətbiq edilmir</v>
      </c>
    </row>
    <row r="299" spans="1:4" x14ac:dyDescent="0.3">
      <c r="A299" s="1" t="s">
        <v>595</v>
      </c>
      <c r="B299" s="3">
        <v>1</v>
      </c>
      <c r="C299" s="3">
        <v>2.15</v>
      </c>
      <c r="D299" s="1" t="str">
        <f t="shared" si="4"/>
        <v>10 mildən çox sifarişə 30 faiz endirim</v>
      </c>
    </row>
    <row r="300" spans="1:4" x14ac:dyDescent="0.3">
      <c r="A300" s="1" t="s">
        <v>724</v>
      </c>
      <c r="B300" s="3">
        <v>2</v>
      </c>
      <c r="C300" s="3">
        <v>7.2</v>
      </c>
      <c r="D300" s="1" t="str">
        <f t="shared" si="4"/>
        <v>10 mildən çox sifarişə 20 faiz endirim</v>
      </c>
    </row>
    <row r="301" spans="1:4" x14ac:dyDescent="0.3">
      <c r="A301" s="1" t="s">
        <v>141</v>
      </c>
      <c r="B301" s="3">
        <v>1.5</v>
      </c>
      <c r="C301" s="3">
        <v>5.3000000000000007</v>
      </c>
      <c r="D301" s="1" t="str">
        <f t="shared" si="4"/>
        <v>10 mildən çox sifarişə 30 faiz endirim</v>
      </c>
    </row>
    <row r="302" spans="1:4" x14ac:dyDescent="0.3">
      <c r="A302" s="1" t="s">
        <v>142</v>
      </c>
      <c r="B302" s="3">
        <v>1.5</v>
      </c>
      <c r="C302" s="3">
        <v>5.2</v>
      </c>
      <c r="D302" s="1" t="str">
        <f t="shared" si="4"/>
        <v>10 mildən çox sifarişə 30 faiz endirim</v>
      </c>
    </row>
    <row r="303" spans="1:4" x14ac:dyDescent="0.3">
      <c r="A303" s="1" t="s">
        <v>795</v>
      </c>
      <c r="B303" s="3">
        <v>1</v>
      </c>
      <c r="C303" s="3">
        <v>2.2249999999999996</v>
      </c>
      <c r="D303" s="1" t="str">
        <f t="shared" si="4"/>
        <v>10 mildən çox sifarişə 30 faiz endirim</v>
      </c>
    </row>
    <row r="304" spans="1:4" x14ac:dyDescent="0.3">
      <c r="A304" s="1" t="s">
        <v>340</v>
      </c>
      <c r="B304" s="3">
        <v>1</v>
      </c>
      <c r="C304" s="3">
        <v>3.375</v>
      </c>
      <c r="D304" s="1" t="str">
        <f t="shared" si="4"/>
        <v>10 mildən çox sifarişə 30 faiz endirim</v>
      </c>
    </row>
    <row r="305" spans="1:4" x14ac:dyDescent="0.3">
      <c r="A305" s="1" t="s">
        <v>393</v>
      </c>
      <c r="B305" s="3">
        <v>1.25</v>
      </c>
      <c r="C305" s="3">
        <v>3</v>
      </c>
      <c r="D305" s="1" t="str">
        <f t="shared" si="4"/>
        <v>10 mildən çox sifarişə 30 faiz endirim</v>
      </c>
    </row>
    <row r="306" spans="1:4" x14ac:dyDescent="0.3">
      <c r="A306" s="1" t="s">
        <v>341</v>
      </c>
      <c r="B306" s="3">
        <v>1</v>
      </c>
      <c r="C306" s="3">
        <v>1.7000000000000002</v>
      </c>
      <c r="D306" s="1" t="str">
        <f t="shared" si="4"/>
        <v>10 mildən çox sifarişə 30 faiz endirim</v>
      </c>
    </row>
    <row r="307" spans="1:4" x14ac:dyDescent="0.3">
      <c r="A307" s="1" t="s">
        <v>878</v>
      </c>
      <c r="B307" s="3">
        <v>4</v>
      </c>
      <c r="C307" s="3">
        <v>11.7</v>
      </c>
      <c r="D307" s="1" t="str">
        <f t="shared" si="4"/>
        <v>10 mildən çox sifarişə 20 faiz endirim</v>
      </c>
    </row>
    <row r="308" spans="1:4" x14ac:dyDescent="0.3">
      <c r="A308" s="1" t="s">
        <v>279</v>
      </c>
      <c r="B308" s="3">
        <v>1.25</v>
      </c>
      <c r="C308" s="3">
        <v>7.4</v>
      </c>
      <c r="D308" s="1" t="str">
        <f t="shared" si="4"/>
        <v>tətbiq edilmir</v>
      </c>
    </row>
    <row r="309" spans="1:4" x14ac:dyDescent="0.3">
      <c r="A309" s="1" t="s">
        <v>227</v>
      </c>
      <c r="B309" s="3">
        <v>1.75</v>
      </c>
      <c r="C309" s="3">
        <v>6.85</v>
      </c>
      <c r="D309" s="1" t="str">
        <f t="shared" si="4"/>
        <v>10 mildən çox sifarişə 20 faiz endirim</v>
      </c>
    </row>
    <row r="310" spans="1:4" x14ac:dyDescent="0.3">
      <c r="A310" s="1" t="s">
        <v>560</v>
      </c>
      <c r="B310" s="3">
        <v>1.5</v>
      </c>
      <c r="C310" s="3">
        <v>6.0749999999999993</v>
      </c>
      <c r="D310" s="1" t="str">
        <f t="shared" si="4"/>
        <v>10 mildən çox sifarişə 30 faiz endirim</v>
      </c>
    </row>
    <row r="311" spans="1:4" x14ac:dyDescent="0.3">
      <c r="A311" s="1" t="s">
        <v>919</v>
      </c>
      <c r="B311" s="3">
        <v>1.3333333333333333</v>
      </c>
      <c r="C311" s="3">
        <v>6.1333333333333329</v>
      </c>
      <c r="D311" s="1" t="str">
        <f t="shared" si="4"/>
        <v>10 mildən çox sifarişə 30 faiz endirim</v>
      </c>
    </row>
    <row r="312" spans="1:4" x14ac:dyDescent="0.3">
      <c r="A312" s="1" t="s">
        <v>842</v>
      </c>
      <c r="B312" s="3">
        <v>1</v>
      </c>
      <c r="C312" s="3">
        <v>6.15</v>
      </c>
      <c r="D312" s="1" t="str">
        <f t="shared" si="4"/>
        <v>10 mildən çox sifarişə 30 faiz endirim</v>
      </c>
    </row>
    <row r="313" spans="1:4" x14ac:dyDescent="0.3">
      <c r="A313" s="1" t="s">
        <v>394</v>
      </c>
      <c r="B313" s="3">
        <v>1.25</v>
      </c>
      <c r="C313" s="3">
        <v>5.9499999999999993</v>
      </c>
      <c r="D313" s="1" t="str">
        <f t="shared" si="4"/>
        <v>10 mildən çox sifarişə 30 faiz endirim</v>
      </c>
    </row>
    <row r="314" spans="1:4" x14ac:dyDescent="0.3">
      <c r="A314" s="1" t="s">
        <v>811</v>
      </c>
      <c r="B314" s="3">
        <v>1.5</v>
      </c>
      <c r="C314" s="3">
        <v>2.5499999999999998</v>
      </c>
      <c r="D314" s="1" t="str">
        <f t="shared" si="4"/>
        <v>10 mildən çox sifarişə 30 faiz endirim</v>
      </c>
    </row>
    <row r="315" spans="1:4" x14ac:dyDescent="0.3">
      <c r="A315" s="1" t="s">
        <v>143</v>
      </c>
      <c r="B315" s="3">
        <v>1</v>
      </c>
      <c r="C315" s="3">
        <v>7.5666666666666664</v>
      </c>
      <c r="D315" s="1" t="str">
        <f t="shared" si="4"/>
        <v>tətbiq edilmir</v>
      </c>
    </row>
    <row r="316" spans="1:4" x14ac:dyDescent="0.3">
      <c r="A316" s="1" t="s">
        <v>486</v>
      </c>
      <c r="B316" s="3">
        <v>1</v>
      </c>
      <c r="C316" s="3">
        <v>2.0750000000000002</v>
      </c>
      <c r="D316" s="1" t="str">
        <f t="shared" si="4"/>
        <v>10 mildən çox sifarişə 30 faiz endirim</v>
      </c>
    </row>
    <row r="317" spans="1:4" x14ac:dyDescent="0.3">
      <c r="A317" s="1" t="s">
        <v>144</v>
      </c>
      <c r="B317" s="3">
        <v>1.6666666666666667</v>
      </c>
      <c r="C317" s="3">
        <v>6.1999999999999993</v>
      </c>
      <c r="D317" s="1" t="str">
        <f t="shared" si="4"/>
        <v>10 mildən çox sifarişə 20 faiz endirim</v>
      </c>
    </row>
    <row r="318" spans="1:4" x14ac:dyDescent="0.3">
      <c r="A318" s="1" t="s">
        <v>561</v>
      </c>
      <c r="B318" s="3">
        <v>1.5</v>
      </c>
      <c r="C318" s="3">
        <v>3.0249999999999995</v>
      </c>
      <c r="D318" s="1" t="str">
        <f t="shared" si="4"/>
        <v>10 mildən çox sifarişə 30 faiz endirim</v>
      </c>
    </row>
    <row r="319" spans="1:4" x14ac:dyDescent="0.3">
      <c r="A319" s="1" t="s">
        <v>447</v>
      </c>
      <c r="B319" s="3">
        <v>1</v>
      </c>
      <c r="C319" s="3">
        <v>8.4499999999999993</v>
      </c>
      <c r="D319" s="1" t="str">
        <f t="shared" si="4"/>
        <v>tətbiq edilmir</v>
      </c>
    </row>
    <row r="320" spans="1:4" x14ac:dyDescent="0.3">
      <c r="A320" s="1" t="s">
        <v>827</v>
      </c>
      <c r="B320" s="3">
        <v>1.5</v>
      </c>
      <c r="C320" s="3">
        <v>2.35</v>
      </c>
      <c r="D320" s="1" t="str">
        <f t="shared" si="4"/>
        <v>10 mildən çox sifarişə 30 faiz endirim</v>
      </c>
    </row>
    <row r="321" spans="1:4" x14ac:dyDescent="0.3">
      <c r="A321" s="1" t="s">
        <v>865</v>
      </c>
      <c r="B321" s="3">
        <v>1</v>
      </c>
      <c r="C321" s="3">
        <v>4.0999999999999996</v>
      </c>
      <c r="D321" s="1" t="str">
        <f t="shared" si="4"/>
        <v>10 mildən çox sifarişə 30 faiz endirim</v>
      </c>
    </row>
    <row r="322" spans="1:4" x14ac:dyDescent="0.3">
      <c r="A322" s="1" t="s">
        <v>395</v>
      </c>
      <c r="B322" s="3">
        <v>1.6</v>
      </c>
      <c r="C322" s="3">
        <v>4.88</v>
      </c>
      <c r="D322" s="1" t="str">
        <f t="shared" si="4"/>
        <v>10 mildən çox sifarişə 20 faiz endirim</v>
      </c>
    </row>
    <row r="323" spans="1:4" x14ac:dyDescent="0.3">
      <c r="A323" s="1" t="s">
        <v>627</v>
      </c>
      <c r="B323" s="3">
        <v>1.4</v>
      </c>
      <c r="C323" s="3">
        <v>8.66</v>
      </c>
      <c r="D323" s="1" t="str">
        <f t="shared" ref="D323:D386" si="5">IF( B323&lt;1, "gündəlik bir gedişə 30% endirim", IF(B323&gt;1.5, "10 mildən çox sifarişə 20 faiz endirim", IF(C323&lt;7, "10 mildən çox sifarişə 30 faiz endirim", "tətbiq edilmir") ))</f>
        <v>tətbiq edilmir</v>
      </c>
    </row>
    <row r="324" spans="1:4" x14ac:dyDescent="0.3">
      <c r="A324" s="1" t="s">
        <v>766</v>
      </c>
      <c r="B324" s="3">
        <v>1.3333333333333333</v>
      </c>
      <c r="C324" s="3">
        <v>2.8333333333333335</v>
      </c>
      <c r="D324" s="1" t="str">
        <f t="shared" si="5"/>
        <v>10 mildən çox sifarişə 30 faiz endirim</v>
      </c>
    </row>
    <row r="325" spans="1:4" x14ac:dyDescent="0.3">
      <c r="A325" s="1" t="s">
        <v>743</v>
      </c>
      <c r="B325" s="3">
        <v>1.25</v>
      </c>
      <c r="C325" s="3">
        <v>3</v>
      </c>
      <c r="D325" s="1" t="str">
        <f t="shared" si="5"/>
        <v>10 mildən çox sifarişə 30 faiz endirim</v>
      </c>
    </row>
    <row r="326" spans="1:4" x14ac:dyDescent="0.3">
      <c r="A326" s="1" t="s">
        <v>744</v>
      </c>
      <c r="B326" s="3">
        <v>1.5</v>
      </c>
      <c r="C326" s="3">
        <v>6.9</v>
      </c>
      <c r="D326" s="1" t="str">
        <f t="shared" si="5"/>
        <v>10 mildən çox sifarişə 30 faiz endirim</v>
      </c>
    </row>
    <row r="327" spans="1:4" x14ac:dyDescent="0.3">
      <c r="A327" s="1" t="s">
        <v>767</v>
      </c>
      <c r="B327" s="3">
        <v>1.25</v>
      </c>
      <c r="C327" s="3">
        <v>8.2749999999999986</v>
      </c>
      <c r="D327" s="1" t="str">
        <f t="shared" si="5"/>
        <v>tətbiq edilmir</v>
      </c>
    </row>
    <row r="328" spans="1:4" x14ac:dyDescent="0.3">
      <c r="A328" s="1" t="s">
        <v>704</v>
      </c>
      <c r="B328" s="3">
        <v>1</v>
      </c>
      <c r="C328" s="3">
        <v>6.3</v>
      </c>
      <c r="D328" s="1" t="str">
        <f t="shared" si="5"/>
        <v>10 mildən çox sifarişə 30 faiz endirim</v>
      </c>
    </row>
    <row r="329" spans="1:4" x14ac:dyDescent="0.3">
      <c r="A329" s="1" t="s">
        <v>145</v>
      </c>
      <c r="B329" s="3">
        <v>1.5</v>
      </c>
      <c r="C329" s="3">
        <v>8.2750000000000004</v>
      </c>
      <c r="D329" s="1" t="str">
        <f t="shared" si="5"/>
        <v>tətbiq edilmir</v>
      </c>
    </row>
    <row r="330" spans="1:4" x14ac:dyDescent="0.3">
      <c r="A330" s="1" t="s">
        <v>146</v>
      </c>
      <c r="B330" s="3">
        <v>1.75</v>
      </c>
      <c r="C330" s="3">
        <v>9.65</v>
      </c>
      <c r="D330" s="1" t="str">
        <f t="shared" si="5"/>
        <v>10 mildən çox sifarişə 20 faiz endirim</v>
      </c>
    </row>
    <row r="331" spans="1:4" x14ac:dyDescent="0.3">
      <c r="A331" s="1" t="s">
        <v>280</v>
      </c>
      <c r="B331" s="3">
        <v>1.25</v>
      </c>
      <c r="C331" s="3">
        <v>3.9499999999999997</v>
      </c>
      <c r="D331" s="1" t="str">
        <f t="shared" si="5"/>
        <v>10 mildən çox sifarişə 30 faiz endirim</v>
      </c>
    </row>
    <row r="332" spans="1:4" x14ac:dyDescent="0.3">
      <c r="A332" s="1" t="s">
        <v>895</v>
      </c>
      <c r="B332" s="3">
        <v>1.3333333333333333</v>
      </c>
      <c r="C332" s="3">
        <v>3.3000000000000003</v>
      </c>
      <c r="D332" s="1" t="str">
        <f t="shared" si="5"/>
        <v>10 mildən çox sifarişə 30 faiz endirim</v>
      </c>
    </row>
    <row r="333" spans="1:4" x14ac:dyDescent="0.3">
      <c r="A333" s="1" t="s">
        <v>796</v>
      </c>
      <c r="B333" s="3">
        <v>1</v>
      </c>
      <c r="C333" s="3">
        <v>7.8</v>
      </c>
      <c r="D333" s="1" t="str">
        <f t="shared" si="5"/>
        <v>tətbiq edilmir</v>
      </c>
    </row>
    <row r="334" spans="1:4" x14ac:dyDescent="0.3">
      <c r="A334" s="1" t="s">
        <v>596</v>
      </c>
      <c r="B334" s="3">
        <v>1.3333333333333333</v>
      </c>
      <c r="C334" s="3">
        <v>2.9</v>
      </c>
      <c r="D334" s="1" t="str">
        <f t="shared" si="5"/>
        <v>10 mildən çox sifarişə 30 faiz endirim</v>
      </c>
    </row>
    <row r="335" spans="1:4" x14ac:dyDescent="0.3">
      <c r="A335" s="1" t="s">
        <v>228</v>
      </c>
      <c r="B335" s="3">
        <v>1.8</v>
      </c>
      <c r="C335" s="3">
        <v>5.26</v>
      </c>
      <c r="D335" s="1" t="str">
        <f t="shared" si="5"/>
        <v>10 mildən çox sifarişə 20 faiz endirim</v>
      </c>
    </row>
    <row r="336" spans="1:4" x14ac:dyDescent="0.3">
      <c r="A336" s="1" t="s">
        <v>797</v>
      </c>
      <c r="B336" s="3">
        <v>2</v>
      </c>
      <c r="C336" s="3">
        <v>6.6000000000000005</v>
      </c>
      <c r="D336" s="1" t="str">
        <f t="shared" si="5"/>
        <v>10 mildən çox sifarişə 20 faiz endirim</v>
      </c>
    </row>
    <row r="337" spans="1:4" x14ac:dyDescent="0.3">
      <c r="A337" s="1" t="s">
        <v>147</v>
      </c>
      <c r="B337" s="3">
        <v>1.5</v>
      </c>
      <c r="C337" s="3">
        <v>3.5</v>
      </c>
      <c r="D337" s="1" t="str">
        <f t="shared" si="5"/>
        <v>10 mildən çox sifarişə 30 faiz endirim</v>
      </c>
    </row>
    <row r="338" spans="1:4" x14ac:dyDescent="0.3">
      <c r="A338" s="1" t="s">
        <v>523</v>
      </c>
      <c r="B338" s="3">
        <v>1.3333333333333333</v>
      </c>
      <c r="C338" s="3">
        <v>3.8000000000000003</v>
      </c>
      <c r="D338" s="1" t="str">
        <f t="shared" si="5"/>
        <v>10 mildən çox sifarişə 30 faiz endirim</v>
      </c>
    </row>
    <row r="339" spans="1:4" x14ac:dyDescent="0.3">
      <c r="A339" s="1" t="s">
        <v>628</v>
      </c>
      <c r="B339" s="3">
        <v>1</v>
      </c>
      <c r="C339" s="3">
        <v>3.06</v>
      </c>
      <c r="D339" s="1" t="str">
        <f t="shared" si="5"/>
        <v>10 mildən çox sifarişə 30 faiz endirim</v>
      </c>
    </row>
    <row r="340" spans="1:4" x14ac:dyDescent="0.3">
      <c r="A340" s="1" t="s">
        <v>768</v>
      </c>
      <c r="B340" s="3">
        <v>1.25</v>
      </c>
      <c r="C340" s="3">
        <v>3.1</v>
      </c>
      <c r="D340" s="1" t="str">
        <f t="shared" si="5"/>
        <v>10 mildən çox sifarişə 30 faiz endirim</v>
      </c>
    </row>
    <row r="341" spans="1:4" x14ac:dyDescent="0.3">
      <c r="A341" s="1" t="s">
        <v>933</v>
      </c>
      <c r="B341" s="3">
        <v>1</v>
      </c>
      <c r="C341" s="3">
        <v>4.0999999999999996</v>
      </c>
      <c r="D341" s="1" t="str">
        <f t="shared" si="5"/>
        <v>10 mildən çox sifarişə 30 faiz endirim</v>
      </c>
    </row>
    <row r="342" spans="1:4" x14ac:dyDescent="0.3">
      <c r="A342" s="1" t="s">
        <v>487</v>
      </c>
      <c r="B342" s="3">
        <v>1</v>
      </c>
      <c r="C342" s="3">
        <v>4.05</v>
      </c>
      <c r="D342" s="1" t="str">
        <f t="shared" si="5"/>
        <v>10 mildən çox sifarişə 30 faiz endirim</v>
      </c>
    </row>
    <row r="343" spans="1:4" x14ac:dyDescent="0.3">
      <c r="A343" s="1" t="s">
        <v>148</v>
      </c>
      <c r="B343" s="3">
        <v>1.1428571428571428</v>
      </c>
      <c r="C343" s="3">
        <v>4.9285714285714288</v>
      </c>
      <c r="D343" s="1" t="str">
        <f t="shared" si="5"/>
        <v>10 mildən çox sifarişə 30 faiz endirim</v>
      </c>
    </row>
    <row r="344" spans="1:4" x14ac:dyDescent="0.3">
      <c r="A344" s="1" t="s">
        <v>828</v>
      </c>
      <c r="B344" s="3">
        <v>1.5</v>
      </c>
      <c r="C344" s="3">
        <v>6.4249999999999989</v>
      </c>
      <c r="D344" s="1" t="str">
        <f t="shared" si="5"/>
        <v>10 mildən çox sifarişə 30 faiz endirim</v>
      </c>
    </row>
    <row r="345" spans="1:4" x14ac:dyDescent="0.3">
      <c r="A345" s="1" t="s">
        <v>149</v>
      </c>
      <c r="B345" s="3">
        <v>1.6</v>
      </c>
      <c r="C345" s="3">
        <v>7.76</v>
      </c>
      <c r="D345" s="1" t="str">
        <f t="shared" si="5"/>
        <v>10 mildən çox sifarişə 20 faiz endirim</v>
      </c>
    </row>
    <row r="346" spans="1:4" x14ac:dyDescent="0.3">
      <c r="A346" s="1" t="s">
        <v>229</v>
      </c>
      <c r="B346" s="3">
        <v>3</v>
      </c>
      <c r="C346" s="3">
        <v>3.9</v>
      </c>
      <c r="D346" s="1" t="str">
        <f t="shared" si="5"/>
        <v>10 mildən çox sifarişə 20 faiz endirim</v>
      </c>
    </row>
    <row r="347" spans="1:4" x14ac:dyDescent="0.3">
      <c r="A347" s="1" t="s">
        <v>562</v>
      </c>
      <c r="B347" s="3">
        <v>2.3333333333333335</v>
      </c>
      <c r="C347" s="3">
        <v>7.3</v>
      </c>
      <c r="D347" s="1" t="str">
        <f t="shared" si="5"/>
        <v>10 mildən çox sifarişə 20 faiz endirim</v>
      </c>
    </row>
    <row r="348" spans="1:4" x14ac:dyDescent="0.3">
      <c r="A348" s="1" t="s">
        <v>921</v>
      </c>
      <c r="B348" s="3">
        <v>1.5</v>
      </c>
      <c r="C348" s="3">
        <v>5</v>
      </c>
      <c r="D348" s="1" t="str">
        <f t="shared" si="5"/>
        <v>10 mildən çox sifarişə 30 faiz endirim</v>
      </c>
    </row>
    <row r="349" spans="1:4" x14ac:dyDescent="0.3">
      <c r="A349" s="1" t="s">
        <v>725</v>
      </c>
      <c r="B349" s="3">
        <v>1</v>
      </c>
      <c r="C349" s="3">
        <v>6.6749999999999998</v>
      </c>
      <c r="D349" s="1" t="str">
        <f t="shared" si="5"/>
        <v>10 mildən çox sifarişə 30 faiz endirim</v>
      </c>
    </row>
    <row r="350" spans="1:4" x14ac:dyDescent="0.3">
      <c r="A350" s="1" t="s">
        <v>488</v>
      </c>
      <c r="B350" s="3">
        <v>1</v>
      </c>
      <c r="C350" s="3">
        <v>10.149999999999999</v>
      </c>
      <c r="D350" s="1" t="str">
        <f t="shared" si="5"/>
        <v>tətbiq edilmir</v>
      </c>
    </row>
    <row r="351" spans="1:4" x14ac:dyDescent="0.3">
      <c r="A351" s="1" t="s">
        <v>914</v>
      </c>
      <c r="B351" s="3">
        <v>1</v>
      </c>
      <c r="C351" s="3">
        <v>4.9666666666666677</v>
      </c>
      <c r="D351" s="1" t="str">
        <f t="shared" si="5"/>
        <v>10 mildən çox sifarişə 30 faiz endirim</v>
      </c>
    </row>
    <row r="352" spans="1:4" x14ac:dyDescent="0.3">
      <c r="A352" s="1" t="s">
        <v>667</v>
      </c>
      <c r="B352" s="3">
        <v>1</v>
      </c>
      <c r="C352" s="3">
        <v>0.5</v>
      </c>
      <c r="D352" s="1" t="str">
        <f t="shared" si="5"/>
        <v>10 mildən çox sifarişə 30 faiz endirim</v>
      </c>
    </row>
    <row r="353" spans="1:4" x14ac:dyDescent="0.3">
      <c r="A353" s="1" t="s">
        <v>150</v>
      </c>
      <c r="B353" s="3">
        <v>1.6666666666666667</v>
      </c>
      <c r="C353" s="3">
        <v>6.833333333333333</v>
      </c>
      <c r="D353" s="1" t="str">
        <f t="shared" si="5"/>
        <v>10 mildən çox sifarişə 20 faiz endirim</v>
      </c>
    </row>
    <row r="354" spans="1:4" x14ac:dyDescent="0.3">
      <c r="A354" s="1" t="s">
        <v>230</v>
      </c>
      <c r="B354" s="3">
        <v>1.6</v>
      </c>
      <c r="C354" s="3">
        <v>5.9399999999999995</v>
      </c>
      <c r="D354" s="1" t="str">
        <f t="shared" si="5"/>
        <v>10 mildən çox sifarişə 20 faiz endirim</v>
      </c>
    </row>
    <row r="355" spans="1:4" x14ac:dyDescent="0.3">
      <c r="A355" s="1" t="s">
        <v>563</v>
      </c>
      <c r="B355" s="3">
        <v>1.25</v>
      </c>
      <c r="C355" s="3">
        <v>1.6749999999999998</v>
      </c>
      <c r="D355" s="1" t="str">
        <f t="shared" si="5"/>
        <v>10 mildən çox sifarişə 30 faiz endirim</v>
      </c>
    </row>
    <row r="356" spans="1:4" x14ac:dyDescent="0.3">
      <c r="A356" s="1" t="s">
        <v>668</v>
      </c>
      <c r="B356" s="3">
        <v>1.5</v>
      </c>
      <c r="C356" s="3">
        <v>8</v>
      </c>
      <c r="D356" s="1" t="str">
        <f t="shared" si="5"/>
        <v>tətbiq edilmir</v>
      </c>
    </row>
    <row r="357" spans="1:4" x14ac:dyDescent="0.3">
      <c r="A357" s="1" t="s">
        <v>342</v>
      </c>
      <c r="B357" s="3">
        <v>1.5</v>
      </c>
      <c r="C357" s="3">
        <v>6.55</v>
      </c>
      <c r="D357" s="1" t="str">
        <f t="shared" si="5"/>
        <v>10 mildən çox sifarişə 30 faiz endirim</v>
      </c>
    </row>
    <row r="358" spans="1:4" x14ac:dyDescent="0.3">
      <c r="A358" s="1" t="s">
        <v>489</v>
      </c>
      <c r="B358" s="3">
        <v>1.4</v>
      </c>
      <c r="C358" s="3">
        <v>9.34</v>
      </c>
      <c r="D358" s="1" t="str">
        <f t="shared" si="5"/>
        <v>tətbiq edilmir</v>
      </c>
    </row>
    <row r="359" spans="1:4" x14ac:dyDescent="0.3">
      <c r="A359" s="1" t="s">
        <v>396</v>
      </c>
      <c r="B359" s="3">
        <v>1.3333333333333333</v>
      </c>
      <c r="C359" s="3">
        <v>3.2000000000000006</v>
      </c>
      <c r="D359" s="1" t="str">
        <f t="shared" si="5"/>
        <v>10 mildən çox sifarişə 30 faiz endirim</v>
      </c>
    </row>
    <row r="360" spans="1:4" x14ac:dyDescent="0.3">
      <c r="A360" s="1" t="s">
        <v>705</v>
      </c>
      <c r="B360" s="3">
        <v>1.1666666666666667</v>
      </c>
      <c r="C360" s="3">
        <v>6.3999999999999995</v>
      </c>
      <c r="D360" s="1" t="str">
        <f t="shared" si="5"/>
        <v>10 mildən çox sifarişə 30 faiz endirim</v>
      </c>
    </row>
    <row r="361" spans="1:4" x14ac:dyDescent="0.3">
      <c r="A361" s="1" t="s">
        <v>843</v>
      </c>
      <c r="B361" s="3">
        <v>1.6666666666666667</v>
      </c>
      <c r="C361" s="3">
        <v>5.0666666666666673</v>
      </c>
      <c r="D361" s="1" t="str">
        <f t="shared" si="5"/>
        <v>10 mildən çox sifarişə 20 faiz endirim</v>
      </c>
    </row>
    <row r="362" spans="1:4" x14ac:dyDescent="0.3">
      <c r="A362" s="1" t="s">
        <v>629</v>
      </c>
      <c r="B362" s="3">
        <v>1.5</v>
      </c>
      <c r="C362" s="3">
        <v>3.4750000000000001</v>
      </c>
      <c r="D362" s="1" t="str">
        <f t="shared" si="5"/>
        <v>10 mildən çox sifarişə 30 faiz endirim</v>
      </c>
    </row>
    <row r="363" spans="1:4" x14ac:dyDescent="0.3">
      <c r="A363" s="1" t="s">
        <v>669</v>
      </c>
      <c r="B363" s="3">
        <v>1.25</v>
      </c>
      <c r="C363" s="3">
        <v>1.925</v>
      </c>
      <c r="D363" s="1" t="str">
        <f t="shared" si="5"/>
        <v>10 mildən çox sifarişə 30 faiz endirim</v>
      </c>
    </row>
    <row r="364" spans="1:4" x14ac:dyDescent="0.3">
      <c r="A364" s="1" t="s">
        <v>798</v>
      </c>
      <c r="B364" s="3">
        <v>1</v>
      </c>
      <c r="C364" s="3">
        <v>3.4666666666666668</v>
      </c>
      <c r="D364" s="1" t="str">
        <f t="shared" si="5"/>
        <v>10 mildən çox sifarişə 30 faiz endirim</v>
      </c>
    </row>
    <row r="365" spans="1:4" x14ac:dyDescent="0.3">
      <c r="A365" s="1" t="s">
        <v>231</v>
      </c>
      <c r="B365" s="3">
        <v>1.25</v>
      </c>
      <c r="C365" s="3">
        <v>6.9</v>
      </c>
      <c r="D365" s="1" t="str">
        <f t="shared" si="5"/>
        <v>10 mildən çox sifarişə 30 faiz endirim</v>
      </c>
    </row>
    <row r="366" spans="1:4" x14ac:dyDescent="0.3">
      <c r="A366" s="1" t="s">
        <v>151</v>
      </c>
      <c r="B366" s="3">
        <v>1.6</v>
      </c>
      <c r="C366" s="3">
        <v>7.1400000000000006</v>
      </c>
      <c r="D366" s="1" t="str">
        <f t="shared" si="5"/>
        <v>10 mildən çox sifarişə 20 faiz endirim</v>
      </c>
    </row>
    <row r="367" spans="1:4" x14ac:dyDescent="0.3">
      <c r="A367" s="1" t="s">
        <v>670</v>
      </c>
      <c r="B367" s="3">
        <v>1.6666666666666667</v>
      </c>
      <c r="C367" s="3">
        <v>5.0666666666666673</v>
      </c>
      <c r="D367" s="1" t="str">
        <f t="shared" si="5"/>
        <v>10 mildən çox sifarişə 20 faiz endirim</v>
      </c>
    </row>
    <row r="368" spans="1:4" x14ac:dyDescent="0.3">
      <c r="A368" s="1" t="s">
        <v>490</v>
      </c>
      <c r="B368" s="3">
        <v>1.6666666666666667</v>
      </c>
      <c r="C368" s="3">
        <v>10.233333333333333</v>
      </c>
      <c r="D368" s="1" t="str">
        <f t="shared" si="5"/>
        <v>10 mildən çox sifarişə 20 faiz endirim</v>
      </c>
    </row>
    <row r="369" spans="1:4" x14ac:dyDescent="0.3">
      <c r="A369" s="1" t="s">
        <v>671</v>
      </c>
      <c r="B369" s="3">
        <v>1.6</v>
      </c>
      <c r="C369" s="3">
        <v>5.3599999999999994</v>
      </c>
      <c r="D369" s="1" t="str">
        <f t="shared" si="5"/>
        <v>10 mildən çox sifarişə 20 faiz endirim</v>
      </c>
    </row>
    <row r="370" spans="1:4" x14ac:dyDescent="0.3">
      <c r="A370" s="1" t="s">
        <v>854</v>
      </c>
      <c r="B370" s="3">
        <v>1.5</v>
      </c>
      <c r="C370" s="3">
        <v>8.125</v>
      </c>
      <c r="D370" s="1" t="str">
        <f t="shared" si="5"/>
        <v>tətbiq edilmir</v>
      </c>
    </row>
    <row r="371" spans="1:4" x14ac:dyDescent="0.3">
      <c r="A371" s="1" t="s">
        <v>706</v>
      </c>
      <c r="B371" s="3">
        <v>2.3333333333333335</v>
      </c>
      <c r="C371" s="3">
        <v>7.0666666666666673</v>
      </c>
      <c r="D371" s="1" t="str">
        <f t="shared" si="5"/>
        <v>10 mildən çox sifarişə 20 faiz endirim</v>
      </c>
    </row>
    <row r="372" spans="1:4" x14ac:dyDescent="0.3">
      <c r="A372" s="1" t="s">
        <v>448</v>
      </c>
      <c r="B372" s="3">
        <v>1.3333333333333333</v>
      </c>
      <c r="C372" s="3">
        <v>5.2333333333333334</v>
      </c>
      <c r="D372" s="1" t="str">
        <f t="shared" si="5"/>
        <v>10 mildən çox sifarişə 30 faiz endirim</v>
      </c>
    </row>
    <row r="373" spans="1:4" x14ac:dyDescent="0.3">
      <c r="A373" s="1" t="s">
        <v>672</v>
      </c>
      <c r="B373" s="3">
        <v>1.3333333333333333</v>
      </c>
      <c r="C373" s="3">
        <v>1.4333333333333336</v>
      </c>
      <c r="D373" s="1" t="str">
        <f t="shared" si="5"/>
        <v>10 mildən çox sifarişə 30 faiz endirim</v>
      </c>
    </row>
    <row r="374" spans="1:4" x14ac:dyDescent="0.3">
      <c r="A374" s="1" t="s">
        <v>564</v>
      </c>
      <c r="B374" s="3">
        <v>1</v>
      </c>
      <c r="C374" s="3">
        <v>6.9</v>
      </c>
      <c r="D374" s="1" t="str">
        <f t="shared" si="5"/>
        <v>10 mildən çox sifarişə 30 faiz endirim</v>
      </c>
    </row>
    <row r="375" spans="1:4" x14ac:dyDescent="0.3">
      <c r="A375" s="1" t="s">
        <v>152</v>
      </c>
      <c r="B375" s="3">
        <v>1.75</v>
      </c>
      <c r="C375" s="3">
        <v>2.1999999999999997</v>
      </c>
      <c r="D375" s="1" t="str">
        <f t="shared" si="5"/>
        <v>10 mildən çox sifarişə 20 faiz endirim</v>
      </c>
    </row>
    <row r="376" spans="1:4" x14ac:dyDescent="0.3">
      <c r="A376" s="1" t="s">
        <v>673</v>
      </c>
      <c r="B376" s="3">
        <v>1.25</v>
      </c>
      <c r="C376" s="3">
        <v>2.9000000000000004</v>
      </c>
      <c r="D376" s="1" t="str">
        <f t="shared" si="5"/>
        <v>10 mildən çox sifarişə 30 faiz endirim</v>
      </c>
    </row>
    <row r="377" spans="1:4" x14ac:dyDescent="0.3">
      <c r="A377" s="1" t="s">
        <v>76</v>
      </c>
      <c r="B377" s="3">
        <v>1.5</v>
      </c>
      <c r="C377" s="3">
        <v>6.583333333333333</v>
      </c>
      <c r="D377" s="1" t="str">
        <f t="shared" si="5"/>
        <v>10 mildən çox sifarişə 30 faiz endirim</v>
      </c>
    </row>
    <row r="378" spans="1:4" x14ac:dyDescent="0.3">
      <c r="A378" s="1" t="s">
        <v>77</v>
      </c>
      <c r="B378" s="3">
        <v>2.5</v>
      </c>
      <c r="C378" s="3">
        <v>13</v>
      </c>
      <c r="D378" s="1" t="str">
        <f t="shared" si="5"/>
        <v>10 mildən çox sifarişə 20 faiz endirim</v>
      </c>
    </row>
    <row r="379" spans="1:4" x14ac:dyDescent="0.3">
      <c r="A379" s="1" t="s">
        <v>153</v>
      </c>
      <c r="B379" s="3">
        <v>1.3333333333333333</v>
      </c>
      <c r="C379" s="3">
        <v>1.0999999999999999</v>
      </c>
      <c r="D379" s="1" t="str">
        <f t="shared" si="5"/>
        <v>10 mildən çox sifarişə 30 faiz endirim</v>
      </c>
    </row>
    <row r="380" spans="1:4" x14ac:dyDescent="0.3">
      <c r="A380" s="1" t="s">
        <v>78</v>
      </c>
      <c r="B380" s="3">
        <v>1</v>
      </c>
      <c r="C380" s="3">
        <v>3.9666666666666668</v>
      </c>
      <c r="D380" s="1" t="str">
        <f t="shared" si="5"/>
        <v>10 mildən çox sifarişə 30 faiz endirim</v>
      </c>
    </row>
    <row r="381" spans="1:4" x14ac:dyDescent="0.3">
      <c r="A381" s="1" t="s">
        <v>281</v>
      </c>
      <c r="B381" s="3">
        <v>1.25</v>
      </c>
      <c r="C381" s="3">
        <v>5.7249999999999996</v>
      </c>
      <c r="D381" s="1" t="str">
        <f t="shared" si="5"/>
        <v>10 mildən çox sifarişə 30 faiz endirim</v>
      </c>
    </row>
    <row r="382" spans="1:4" x14ac:dyDescent="0.3">
      <c r="A382" s="1" t="s">
        <v>769</v>
      </c>
      <c r="B382" s="3">
        <v>2</v>
      </c>
      <c r="C382" s="3">
        <v>9.1999999999999993</v>
      </c>
      <c r="D382" s="1" t="str">
        <f t="shared" si="5"/>
        <v>10 mildən çox sifarişə 20 faiz endirim</v>
      </c>
    </row>
    <row r="383" spans="1:4" x14ac:dyDescent="0.3">
      <c r="A383" s="1" t="s">
        <v>745</v>
      </c>
      <c r="B383" s="3">
        <v>1.25</v>
      </c>
      <c r="C383" s="3">
        <v>10.6</v>
      </c>
      <c r="D383" s="1" t="str">
        <f t="shared" si="5"/>
        <v>tətbiq edilmir</v>
      </c>
    </row>
    <row r="384" spans="1:4" x14ac:dyDescent="0.3">
      <c r="A384" s="1" t="s">
        <v>154</v>
      </c>
      <c r="B384" s="3">
        <v>1.4285714285714286</v>
      </c>
      <c r="C384" s="3">
        <v>4.6285714285714281</v>
      </c>
      <c r="D384" s="1" t="str">
        <f t="shared" si="5"/>
        <v>10 mildən çox sifarişə 30 faiz endirim</v>
      </c>
    </row>
    <row r="385" spans="1:4" x14ac:dyDescent="0.3">
      <c r="A385" s="1" t="s">
        <v>79</v>
      </c>
      <c r="B385" s="3">
        <v>1.4</v>
      </c>
      <c r="C385" s="3">
        <v>4.3</v>
      </c>
      <c r="D385" s="1" t="str">
        <f t="shared" si="5"/>
        <v>10 mildən çox sifarişə 30 faiz endirim</v>
      </c>
    </row>
    <row r="386" spans="1:4" x14ac:dyDescent="0.3">
      <c r="A386" s="1" t="s">
        <v>282</v>
      </c>
      <c r="B386" s="3">
        <v>1</v>
      </c>
      <c r="C386" s="3">
        <v>4</v>
      </c>
      <c r="D386" s="1" t="str">
        <f t="shared" si="5"/>
        <v>10 mildən çox sifarişə 30 faiz endirim</v>
      </c>
    </row>
    <row r="387" spans="1:4" x14ac:dyDescent="0.3">
      <c r="A387" s="1" t="s">
        <v>343</v>
      </c>
      <c r="B387" s="3">
        <v>1.5</v>
      </c>
      <c r="C387" s="3">
        <v>4.1249999999999991</v>
      </c>
      <c r="D387" s="1" t="str">
        <f t="shared" ref="D387:D450" si="6">IF( B387&lt;1, "gündəlik bir gedişə 30% endirim", IF(B387&gt;1.5, "10 mildən çox sifarişə 20 faiz endirim", IF(C387&lt;7, "10 mildən çox sifarişə 30 faiz endirim", "tətbiq edilmir") ))</f>
        <v>10 mildən çox sifarişə 30 faiz endirim</v>
      </c>
    </row>
    <row r="388" spans="1:4" x14ac:dyDescent="0.3">
      <c r="A388" s="1" t="s">
        <v>565</v>
      </c>
      <c r="B388" s="3">
        <v>1.5</v>
      </c>
      <c r="C388" s="3">
        <v>2.6</v>
      </c>
      <c r="D388" s="1" t="str">
        <f t="shared" si="6"/>
        <v>10 mildən çox sifarişə 30 faiz endirim</v>
      </c>
    </row>
    <row r="389" spans="1:4" x14ac:dyDescent="0.3">
      <c r="A389" s="1" t="s">
        <v>770</v>
      </c>
      <c r="B389" s="3">
        <v>1.4</v>
      </c>
      <c r="C389" s="3">
        <v>1.8599999999999999</v>
      </c>
      <c r="D389" s="1" t="str">
        <f t="shared" si="6"/>
        <v>10 mildən çox sifarişə 30 faiz endirim</v>
      </c>
    </row>
    <row r="390" spans="1:4" x14ac:dyDescent="0.3">
      <c r="A390" s="1" t="s">
        <v>232</v>
      </c>
      <c r="B390" s="3">
        <v>1</v>
      </c>
      <c r="C390" s="3">
        <v>1.175</v>
      </c>
      <c r="D390" s="1" t="str">
        <f t="shared" si="6"/>
        <v>10 mildən çox sifarişə 30 faiz endirim</v>
      </c>
    </row>
    <row r="391" spans="1:4" x14ac:dyDescent="0.3">
      <c r="A391" s="1" t="s">
        <v>491</v>
      </c>
      <c r="B391" s="3">
        <v>1.75</v>
      </c>
      <c r="C391" s="3">
        <v>10.85</v>
      </c>
      <c r="D391" s="1" t="str">
        <f t="shared" si="6"/>
        <v>10 mildən çox sifarişə 20 faiz endirim</v>
      </c>
    </row>
    <row r="392" spans="1:4" x14ac:dyDescent="0.3">
      <c r="A392" s="1" t="s">
        <v>344</v>
      </c>
      <c r="B392" s="3">
        <v>2</v>
      </c>
      <c r="C392" s="3">
        <v>5.0333333333333332</v>
      </c>
      <c r="D392" s="1" t="str">
        <f t="shared" si="6"/>
        <v>10 mildən çox sifarişə 20 faiz endirim</v>
      </c>
    </row>
    <row r="393" spans="1:4" x14ac:dyDescent="0.3">
      <c r="A393" s="1" t="s">
        <v>283</v>
      </c>
      <c r="B393" s="3">
        <v>1.6</v>
      </c>
      <c r="C393" s="3">
        <v>6.92</v>
      </c>
      <c r="D393" s="1" t="str">
        <f t="shared" si="6"/>
        <v>10 mildən çox sifarişə 20 faiz endirim</v>
      </c>
    </row>
    <row r="394" spans="1:4" x14ac:dyDescent="0.3">
      <c r="A394" s="1" t="s">
        <v>233</v>
      </c>
      <c r="B394" s="3">
        <v>1</v>
      </c>
      <c r="C394" s="3">
        <v>2.75</v>
      </c>
      <c r="D394" s="1" t="str">
        <f t="shared" si="6"/>
        <v>10 mildən çox sifarişə 30 faiz endirim</v>
      </c>
    </row>
    <row r="395" spans="1:4" x14ac:dyDescent="0.3">
      <c r="A395" s="1" t="s">
        <v>566</v>
      </c>
      <c r="B395" s="3">
        <v>1</v>
      </c>
      <c r="C395" s="3">
        <v>2.9249999999999998</v>
      </c>
      <c r="D395" s="1" t="str">
        <f t="shared" si="6"/>
        <v>10 mildən çox sifarişə 30 faiz endirim</v>
      </c>
    </row>
    <row r="396" spans="1:4" x14ac:dyDescent="0.3">
      <c r="A396" s="1" t="s">
        <v>630</v>
      </c>
      <c r="B396" s="3">
        <v>1.25</v>
      </c>
      <c r="C396" s="3">
        <v>5.6999999999999993</v>
      </c>
      <c r="D396" s="1" t="str">
        <f t="shared" si="6"/>
        <v>10 mildən çox sifarişə 30 faiz endirim</v>
      </c>
    </row>
    <row r="397" spans="1:4" x14ac:dyDescent="0.3">
      <c r="A397" s="1" t="s">
        <v>631</v>
      </c>
      <c r="B397" s="3">
        <v>1.75</v>
      </c>
      <c r="C397" s="3">
        <v>7.3000000000000007</v>
      </c>
      <c r="D397" s="1" t="str">
        <f t="shared" si="6"/>
        <v>10 mildən çox sifarişə 20 faiz endirim</v>
      </c>
    </row>
    <row r="398" spans="1:4" x14ac:dyDescent="0.3">
      <c r="A398" s="1" t="s">
        <v>829</v>
      </c>
      <c r="B398" s="3">
        <v>1</v>
      </c>
      <c r="C398" s="3">
        <v>9.1999999999999993</v>
      </c>
      <c r="D398" s="1" t="str">
        <f t="shared" si="6"/>
        <v>tətbiq edilmir</v>
      </c>
    </row>
    <row r="399" spans="1:4" x14ac:dyDescent="0.3">
      <c r="A399" s="1" t="s">
        <v>397</v>
      </c>
      <c r="B399" s="3">
        <v>1.2</v>
      </c>
      <c r="C399" s="3">
        <v>3.94</v>
      </c>
      <c r="D399" s="1" t="str">
        <f t="shared" si="6"/>
        <v>10 mildən çox sifarişə 30 faiz endirim</v>
      </c>
    </row>
    <row r="400" spans="1:4" x14ac:dyDescent="0.3">
      <c r="A400" s="1" t="s">
        <v>597</v>
      </c>
      <c r="B400" s="3">
        <v>1</v>
      </c>
      <c r="C400" s="3">
        <v>5.15</v>
      </c>
      <c r="D400" s="1" t="str">
        <f t="shared" si="6"/>
        <v>10 mildən çox sifarişə 30 faiz endirim</v>
      </c>
    </row>
    <row r="401" spans="1:4" x14ac:dyDescent="0.3">
      <c r="A401" s="1" t="s">
        <v>783</v>
      </c>
      <c r="B401" s="3">
        <v>1</v>
      </c>
      <c r="C401" s="3">
        <v>51.5</v>
      </c>
      <c r="D401" s="1" t="str">
        <f t="shared" si="6"/>
        <v>tətbiq edilmir</v>
      </c>
    </row>
    <row r="402" spans="1:4" x14ac:dyDescent="0.3">
      <c r="A402" s="1" t="s">
        <v>834</v>
      </c>
      <c r="B402" s="3">
        <v>1.3333333333333333</v>
      </c>
      <c r="C402" s="3">
        <v>6.7666666666666657</v>
      </c>
      <c r="D402" s="1" t="str">
        <f t="shared" si="6"/>
        <v>10 mildən çox sifarişə 30 faiz endirim</v>
      </c>
    </row>
    <row r="403" spans="1:4" x14ac:dyDescent="0.3">
      <c r="A403" s="1" t="s">
        <v>284</v>
      </c>
      <c r="B403" s="3">
        <v>2</v>
      </c>
      <c r="C403" s="3">
        <v>13.9</v>
      </c>
      <c r="D403" s="1" t="str">
        <f t="shared" si="6"/>
        <v>10 mildən çox sifarişə 20 faiz endirim</v>
      </c>
    </row>
    <row r="404" spans="1:4" x14ac:dyDescent="0.3">
      <c r="A404" s="1" t="s">
        <v>80</v>
      </c>
      <c r="B404" s="3">
        <v>2</v>
      </c>
      <c r="C404" s="3">
        <v>7.2750000000000004</v>
      </c>
      <c r="D404" s="1" t="str">
        <f t="shared" si="6"/>
        <v>10 mildən çox sifarişə 20 faiz endirim</v>
      </c>
    </row>
    <row r="405" spans="1:4" x14ac:dyDescent="0.3">
      <c r="A405" s="1" t="s">
        <v>835</v>
      </c>
      <c r="B405" s="3">
        <v>1.5</v>
      </c>
      <c r="C405" s="3">
        <v>2.5499999999999998</v>
      </c>
      <c r="D405" s="1" t="str">
        <f t="shared" si="6"/>
        <v>10 mildən çox sifarişə 30 faiz endirim</v>
      </c>
    </row>
    <row r="406" spans="1:4" x14ac:dyDescent="0.3">
      <c r="A406" s="1" t="s">
        <v>449</v>
      </c>
      <c r="B406" s="3">
        <v>1.5</v>
      </c>
      <c r="C406" s="3">
        <v>11.675000000000001</v>
      </c>
      <c r="D406" s="1" t="str">
        <f t="shared" si="6"/>
        <v>tətbiq edilmir</v>
      </c>
    </row>
    <row r="407" spans="1:4" x14ac:dyDescent="0.3">
      <c r="A407" s="1" t="s">
        <v>345</v>
      </c>
      <c r="B407" s="3">
        <v>1.6</v>
      </c>
      <c r="C407" s="3">
        <v>3.2399999999999998</v>
      </c>
      <c r="D407" s="1" t="str">
        <f t="shared" si="6"/>
        <v>10 mildən çox sifarişə 20 faiz endirim</v>
      </c>
    </row>
    <row r="408" spans="1:4" x14ac:dyDescent="0.3">
      <c r="A408" s="1" t="s">
        <v>855</v>
      </c>
      <c r="B408" s="3">
        <v>1</v>
      </c>
      <c r="C408" s="3">
        <v>10.75</v>
      </c>
      <c r="D408" s="1" t="str">
        <f t="shared" si="6"/>
        <v>tətbiq edilmir</v>
      </c>
    </row>
    <row r="409" spans="1:4" x14ac:dyDescent="0.3">
      <c r="A409" s="1" t="s">
        <v>492</v>
      </c>
      <c r="B409" s="3">
        <v>1.25</v>
      </c>
      <c r="C409" s="3">
        <v>6.8</v>
      </c>
      <c r="D409" s="1" t="str">
        <f t="shared" si="6"/>
        <v>10 mildən çox sifarişə 30 faiz endirim</v>
      </c>
    </row>
    <row r="410" spans="1:4" x14ac:dyDescent="0.3">
      <c r="A410" s="1" t="s">
        <v>771</v>
      </c>
      <c r="B410" s="3">
        <v>1.5</v>
      </c>
      <c r="C410" s="3">
        <v>1.55</v>
      </c>
      <c r="D410" s="1" t="str">
        <f t="shared" si="6"/>
        <v>10 mildən çox sifarişə 30 faiz endirim</v>
      </c>
    </row>
    <row r="411" spans="1:4" x14ac:dyDescent="0.3">
      <c r="A411" s="1" t="s">
        <v>830</v>
      </c>
      <c r="B411" s="3">
        <v>1.6666666666666667</v>
      </c>
      <c r="C411" s="3">
        <v>1.4333333333333333</v>
      </c>
      <c r="D411" s="1" t="str">
        <f t="shared" si="6"/>
        <v>10 mildən çox sifarişə 20 faiz endirim</v>
      </c>
    </row>
    <row r="412" spans="1:4" x14ac:dyDescent="0.3">
      <c r="A412" s="1" t="s">
        <v>598</v>
      </c>
      <c r="B412" s="3">
        <v>1.4</v>
      </c>
      <c r="C412" s="3">
        <v>2.2000000000000002</v>
      </c>
      <c r="D412" s="1" t="str">
        <f t="shared" si="6"/>
        <v>10 mildən çox sifarişə 30 faiz endirim</v>
      </c>
    </row>
    <row r="413" spans="1:4" x14ac:dyDescent="0.3">
      <c r="A413" s="1" t="s">
        <v>450</v>
      </c>
      <c r="B413" s="3">
        <v>1.2</v>
      </c>
      <c r="C413" s="3">
        <v>5.4799999999999995</v>
      </c>
      <c r="D413" s="1" t="str">
        <f t="shared" si="6"/>
        <v>10 mildən çox sifarişə 30 faiz endirim</v>
      </c>
    </row>
    <row r="414" spans="1:4" x14ac:dyDescent="0.3">
      <c r="A414" s="1" t="s">
        <v>707</v>
      </c>
      <c r="B414" s="3">
        <v>1.3333333333333333</v>
      </c>
      <c r="C414" s="3">
        <v>5</v>
      </c>
      <c r="D414" s="1" t="str">
        <f t="shared" si="6"/>
        <v>10 mildən çox sifarişə 30 faiz endirim</v>
      </c>
    </row>
    <row r="415" spans="1:4" x14ac:dyDescent="0.3">
      <c r="A415" s="1" t="s">
        <v>155</v>
      </c>
      <c r="B415" s="3">
        <v>1.5</v>
      </c>
      <c r="C415" s="3">
        <v>7.6333333333333337</v>
      </c>
      <c r="D415" s="1" t="str">
        <f t="shared" si="6"/>
        <v>tətbiq edilmir</v>
      </c>
    </row>
    <row r="416" spans="1:4" x14ac:dyDescent="0.3">
      <c r="A416" s="1" t="s">
        <v>924</v>
      </c>
      <c r="B416" s="3">
        <v>1</v>
      </c>
      <c r="C416" s="3">
        <v>1.1000000000000001</v>
      </c>
      <c r="D416" s="1" t="str">
        <f t="shared" si="6"/>
        <v>10 mildən çox sifarişə 30 faiz endirim</v>
      </c>
    </row>
    <row r="417" spans="1:4" x14ac:dyDescent="0.3">
      <c r="A417" s="1" t="s">
        <v>891</v>
      </c>
      <c r="B417" s="3">
        <v>1</v>
      </c>
      <c r="C417" s="3">
        <v>16.399999999999999</v>
      </c>
      <c r="D417" s="1" t="str">
        <f t="shared" si="6"/>
        <v>tətbiq edilmir</v>
      </c>
    </row>
    <row r="418" spans="1:4" x14ac:dyDescent="0.3">
      <c r="A418" s="1" t="s">
        <v>772</v>
      </c>
      <c r="B418" s="3">
        <v>1</v>
      </c>
      <c r="C418" s="3">
        <v>5.0999999999999996</v>
      </c>
      <c r="D418" s="1" t="str">
        <f t="shared" si="6"/>
        <v>10 mildən çox sifarişə 30 faiz endirim</v>
      </c>
    </row>
    <row r="419" spans="1:4" x14ac:dyDescent="0.3">
      <c r="A419" s="1" t="s">
        <v>285</v>
      </c>
      <c r="B419" s="3">
        <v>1.6666666666666667</v>
      </c>
      <c r="C419" s="3">
        <v>4.5333333333333341</v>
      </c>
      <c r="D419" s="1" t="str">
        <f t="shared" si="6"/>
        <v>10 mildən çox sifarişə 20 faiz endirim</v>
      </c>
    </row>
    <row r="420" spans="1:4" x14ac:dyDescent="0.3">
      <c r="A420" s="1" t="s">
        <v>156</v>
      </c>
      <c r="B420" s="3">
        <v>2.6</v>
      </c>
      <c r="C420" s="3">
        <v>13.5</v>
      </c>
      <c r="D420" s="1" t="str">
        <f t="shared" si="6"/>
        <v>10 mildən çox sifarişə 20 faiz endirim</v>
      </c>
    </row>
    <row r="421" spans="1:4" x14ac:dyDescent="0.3">
      <c r="A421" s="1" t="s">
        <v>836</v>
      </c>
      <c r="B421" s="3">
        <v>1.25</v>
      </c>
      <c r="C421" s="3">
        <v>5.8249999999999993</v>
      </c>
      <c r="D421" s="1" t="str">
        <f t="shared" si="6"/>
        <v>10 mildən çox sifarişə 30 faiz endirim</v>
      </c>
    </row>
    <row r="422" spans="1:4" x14ac:dyDescent="0.3">
      <c r="A422" s="1" t="s">
        <v>81</v>
      </c>
      <c r="B422" s="3">
        <v>2.75</v>
      </c>
      <c r="C422" s="3">
        <v>10.074999999999999</v>
      </c>
      <c r="D422" s="1" t="str">
        <f t="shared" si="6"/>
        <v>10 mildən çox sifarişə 20 faiz endirim</v>
      </c>
    </row>
    <row r="423" spans="1:4" x14ac:dyDescent="0.3">
      <c r="A423" s="1" t="s">
        <v>674</v>
      </c>
      <c r="B423" s="3">
        <v>1.3333333333333333</v>
      </c>
      <c r="C423" s="3">
        <v>4.3666666666666663</v>
      </c>
      <c r="D423" s="1" t="str">
        <f t="shared" si="6"/>
        <v>10 mildən çox sifarişə 30 faiz endirim</v>
      </c>
    </row>
    <row r="424" spans="1:4" x14ac:dyDescent="0.3">
      <c r="A424" s="1" t="s">
        <v>157</v>
      </c>
      <c r="B424" s="3">
        <v>1.1666666666666667</v>
      </c>
      <c r="C424" s="3">
        <v>3.8333333333333335</v>
      </c>
      <c r="D424" s="1" t="str">
        <f t="shared" si="6"/>
        <v>10 mildən çox sifarişə 30 faiz endirim</v>
      </c>
    </row>
    <row r="425" spans="1:4" x14ac:dyDescent="0.3">
      <c r="A425" s="1" t="s">
        <v>398</v>
      </c>
      <c r="B425" s="3">
        <v>1</v>
      </c>
      <c r="C425" s="3">
        <v>19</v>
      </c>
      <c r="D425" s="1" t="str">
        <f t="shared" si="6"/>
        <v>tətbiq edilmir</v>
      </c>
    </row>
    <row r="426" spans="1:4" x14ac:dyDescent="0.3">
      <c r="A426" s="1" t="s">
        <v>493</v>
      </c>
      <c r="B426" s="3">
        <v>1.5</v>
      </c>
      <c r="C426" s="3">
        <v>5.5</v>
      </c>
      <c r="D426" s="1" t="str">
        <f t="shared" si="6"/>
        <v>10 mildən çox sifarişə 30 faiz endirim</v>
      </c>
    </row>
    <row r="427" spans="1:4" x14ac:dyDescent="0.3">
      <c r="A427" s="1" t="s">
        <v>399</v>
      </c>
      <c r="B427" s="3">
        <v>1.25</v>
      </c>
      <c r="C427" s="3">
        <v>2.9000000000000004</v>
      </c>
      <c r="D427" s="1" t="str">
        <f t="shared" si="6"/>
        <v>10 mildən çox sifarişə 30 faiz endirim</v>
      </c>
    </row>
    <row r="428" spans="1:4" x14ac:dyDescent="0.3">
      <c r="A428" s="1" t="s">
        <v>234</v>
      </c>
      <c r="B428" s="3">
        <v>1.25</v>
      </c>
      <c r="C428" s="3">
        <v>5.4499999999999993</v>
      </c>
      <c r="D428" s="1" t="str">
        <f t="shared" si="6"/>
        <v>10 mildən çox sifarişə 30 faiz endirim</v>
      </c>
    </row>
    <row r="429" spans="1:4" x14ac:dyDescent="0.3">
      <c r="A429" s="1" t="s">
        <v>494</v>
      </c>
      <c r="B429" s="3">
        <v>1.25</v>
      </c>
      <c r="C429" s="3">
        <v>5.125</v>
      </c>
      <c r="D429" s="1" t="str">
        <f t="shared" si="6"/>
        <v>10 mildən çox sifarişə 30 faiz endirim</v>
      </c>
    </row>
    <row r="430" spans="1:4" x14ac:dyDescent="0.3">
      <c r="A430" s="1" t="s">
        <v>844</v>
      </c>
      <c r="B430" s="3">
        <v>3</v>
      </c>
      <c r="C430" s="3">
        <v>19.649999999999999</v>
      </c>
      <c r="D430" s="1" t="str">
        <f t="shared" si="6"/>
        <v>10 mildən çox sifarişə 20 faiz endirim</v>
      </c>
    </row>
    <row r="431" spans="1:4" x14ac:dyDescent="0.3">
      <c r="A431" s="1" t="s">
        <v>708</v>
      </c>
      <c r="B431" s="3">
        <v>1.5</v>
      </c>
      <c r="C431" s="3">
        <v>3.4750000000000001</v>
      </c>
      <c r="D431" s="1" t="str">
        <f t="shared" si="6"/>
        <v>10 mildən çox sifarişə 30 faiz endirim</v>
      </c>
    </row>
    <row r="432" spans="1:4" x14ac:dyDescent="0.3">
      <c r="A432" s="1" t="s">
        <v>400</v>
      </c>
      <c r="B432" s="3">
        <v>2</v>
      </c>
      <c r="C432" s="3">
        <v>10.6</v>
      </c>
      <c r="D432" s="1" t="str">
        <f t="shared" si="6"/>
        <v>10 mildən çox sifarişə 20 faiz endirim</v>
      </c>
    </row>
    <row r="433" spans="1:4" x14ac:dyDescent="0.3">
      <c r="A433" s="1" t="s">
        <v>82</v>
      </c>
      <c r="B433" s="3">
        <v>2.3333333333333335</v>
      </c>
      <c r="C433" s="3">
        <v>10.666666666666666</v>
      </c>
      <c r="D433" s="1" t="str">
        <f t="shared" si="6"/>
        <v>10 mildən çox sifarişə 20 faiz endirim</v>
      </c>
    </row>
    <row r="434" spans="1:4" x14ac:dyDescent="0.3">
      <c r="A434" s="1" t="s">
        <v>799</v>
      </c>
      <c r="B434" s="3">
        <v>1.3333333333333333</v>
      </c>
      <c r="C434" s="3">
        <v>3.1999999999999997</v>
      </c>
      <c r="D434" s="1" t="str">
        <f t="shared" si="6"/>
        <v>10 mildən çox sifarişə 30 faiz endirim</v>
      </c>
    </row>
    <row r="435" spans="1:4" x14ac:dyDescent="0.3">
      <c r="A435" s="1" t="s">
        <v>709</v>
      </c>
      <c r="B435" s="3">
        <v>1</v>
      </c>
      <c r="C435" s="3">
        <v>3.0250000000000004</v>
      </c>
      <c r="D435" s="1" t="str">
        <f t="shared" si="6"/>
        <v>10 mildən çox sifarişə 30 faiz endirim</v>
      </c>
    </row>
    <row r="436" spans="1:4" x14ac:dyDescent="0.3">
      <c r="A436" s="1" t="s">
        <v>675</v>
      </c>
      <c r="B436" s="3">
        <v>1</v>
      </c>
      <c r="C436" s="3">
        <v>3.8</v>
      </c>
      <c r="D436" s="1" t="str">
        <f t="shared" si="6"/>
        <v>10 mildən çox sifarişə 30 faiz endirim</v>
      </c>
    </row>
    <row r="437" spans="1:4" x14ac:dyDescent="0.3">
      <c r="A437" s="1" t="s">
        <v>451</v>
      </c>
      <c r="B437" s="3">
        <v>1.25</v>
      </c>
      <c r="C437" s="3">
        <v>2.7250000000000001</v>
      </c>
      <c r="D437" s="1" t="str">
        <f t="shared" si="6"/>
        <v>10 mildən çox sifarişə 30 faiz endirim</v>
      </c>
    </row>
    <row r="438" spans="1:4" x14ac:dyDescent="0.3">
      <c r="A438" s="1" t="s">
        <v>452</v>
      </c>
      <c r="B438" s="3">
        <v>1.25</v>
      </c>
      <c r="C438" s="3">
        <v>1.925</v>
      </c>
      <c r="D438" s="1" t="str">
        <f t="shared" si="6"/>
        <v>10 mildən çox sifarişə 30 faiz endirim</v>
      </c>
    </row>
    <row r="439" spans="1:4" x14ac:dyDescent="0.3">
      <c r="A439" s="1" t="s">
        <v>401</v>
      </c>
      <c r="B439" s="3">
        <v>1.3333333333333333</v>
      </c>
      <c r="C439" s="3">
        <v>3.6</v>
      </c>
      <c r="D439" s="1" t="str">
        <f t="shared" si="6"/>
        <v>10 mildən çox sifarişə 30 faiz endirim</v>
      </c>
    </row>
    <row r="440" spans="1:4" x14ac:dyDescent="0.3">
      <c r="A440" s="1" t="s">
        <v>632</v>
      </c>
      <c r="B440" s="3">
        <v>1</v>
      </c>
      <c r="C440" s="3">
        <v>6.3</v>
      </c>
      <c r="D440" s="1" t="str">
        <f t="shared" si="6"/>
        <v>10 mildən çox sifarişə 30 faiz endirim</v>
      </c>
    </row>
    <row r="441" spans="1:4" x14ac:dyDescent="0.3">
      <c r="A441" s="1" t="s">
        <v>524</v>
      </c>
      <c r="B441" s="3">
        <v>2</v>
      </c>
      <c r="C441" s="3">
        <v>9.9</v>
      </c>
      <c r="D441" s="1" t="str">
        <f t="shared" si="6"/>
        <v>10 mildən çox sifarişə 20 faiz endirim</v>
      </c>
    </row>
    <row r="442" spans="1:4" x14ac:dyDescent="0.3">
      <c r="A442" s="1" t="s">
        <v>346</v>
      </c>
      <c r="B442" s="3">
        <v>1.75</v>
      </c>
      <c r="C442" s="3">
        <v>7.3999999999999995</v>
      </c>
      <c r="D442" s="1" t="str">
        <f t="shared" si="6"/>
        <v>10 mildən çox sifarişə 20 faiz endirim</v>
      </c>
    </row>
    <row r="443" spans="1:4" x14ac:dyDescent="0.3">
      <c r="A443" s="1" t="s">
        <v>567</v>
      </c>
      <c r="B443" s="3">
        <v>1.75</v>
      </c>
      <c r="C443" s="3">
        <v>4.5250000000000004</v>
      </c>
      <c r="D443" s="1" t="str">
        <f t="shared" si="6"/>
        <v>10 mildən çox sifarişə 20 faiz endirim</v>
      </c>
    </row>
    <row r="444" spans="1:4" x14ac:dyDescent="0.3">
      <c r="A444" s="1" t="s">
        <v>676</v>
      </c>
      <c r="B444" s="3">
        <v>1.5</v>
      </c>
      <c r="C444" s="3">
        <v>11.25</v>
      </c>
      <c r="D444" s="1" t="str">
        <f t="shared" si="6"/>
        <v>tətbiq edilmir</v>
      </c>
    </row>
    <row r="445" spans="1:4" x14ac:dyDescent="0.3">
      <c r="A445" s="1" t="s">
        <v>286</v>
      </c>
      <c r="B445" s="3">
        <v>1.5</v>
      </c>
      <c r="C445" s="3">
        <v>2.2250000000000001</v>
      </c>
      <c r="D445" s="1" t="str">
        <f t="shared" si="6"/>
        <v>10 mildən çox sifarişə 30 faiz endirim</v>
      </c>
    </row>
    <row r="446" spans="1:4" x14ac:dyDescent="0.3">
      <c r="A446" s="1" t="s">
        <v>158</v>
      </c>
      <c r="B446" s="3">
        <v>1</v>
      </c>
      <c r="C446" s="3">
        <v>1.4</v>
      </c>
      <c r="D446" s="1" t="str">
        <f t="shared" si="6"/>
        <v>10 mildən çox sifarişə 30 faiz endirim</v>
      </c>
    </row>
    <row r="447" spans="1:4" x14ac:dyDescent="0.3">
      <c r="A447" s="1" t="s">
        <v>83</v>
      </c>
      <c r="B447" s="3">
        <v>1.2</v>
      </c>
      <c r="C447" s="3">
        <v>5.62</v>
      </c>
      <c r="D447" s="1" t="str">
        <f t="shared" si="6"/>
        <v>10 mildən çox sifarişə 30 faiz endirim</v>
      </c>
    </row>
    <row r="448" spans="1:4" x14ac:dyDescent="0.3">
      <c r="A448" s="1" t="s">
        <v>235</v>
      </c>
      <c r="B448" s="3">
        <v>1.5</v>
      </c>
      <c r="C448" s="3">
        <v>7</v>
      </c>
      <c r="D448" s="1" t="str">
        <f t="shared" si="6"/>
        <v>tətbiq edilmir</v>
      </c>
    </row>
    <row r="449" spans="1:4" x14ac:dyDescent="0.3">
      <c r="A449" s="1" t="s">
        <v>453</v>
      </c>
      <c r="B449" s="3">
        <v>1.6666666666666667</v>
      </c>
      <c r="C449" s="3">
        <v>9.6333333333333329</v>
      </c>
      <c r="D449" s="1" t="str">
        <f t="shared" si="6"/>
        <v>10 mildən çox sifarişə 20 faiz endirim</v>
      </c>
    </row>
    <row r="450" spans="1:4" x14ac:dyDescent="0.3">
      <c r="A450" s="1" t="s">
        <v>454</v>
      </c>
      <c r="B450" s="3">
        <v>1.6666666666666667</v>
      </c>
      <c r="C450" s="3">
        <v>8.1</v>
      </c>
      <c r="D450" s="1" t="str">
        <f t="shared" si="6"/>
        <v>10 mildən çox sifarişə 20 faiz endirim</v>
      </c>
    </row>
    <row r="451" spans="1:4" x14ac:dyDescent="0.3">
      <c r="A451" s="1" t="s">
        <v>84</v>
      </c>
      <c r="B451" s="3">
        <v>1.2</v>
      </c>
      <c r="C451" s="3">
        <v>4.76</v>
      </c>
      <c r="D451" s="1" t="str">
        <f t="shared" ref="D451:D514" si="7">IF( B451&lt;1, "gündəlik bir gedişə 30% endirim", IF(B451&gt;1.5, "10 mildən çox sifarişə 20 faiz endirim", IF(C451&lt;7, "10 mildən çox sifarişə 30 faiz endirim", "tətbiq edilmir") ))</f>
        <v>10 mildən çox sifarişə 30 faiz endirim</v>
      </c>
    </row>
    <row r="452" spans="1:4" x14ac:dyDescent="0.3">
      <c r="A452" s="1" t="s">
        <v>884</v>
      </c>
      <c r="B452" s="3">
        <v>1.25</v>
      </c>
      <c r="C452" s="3">
        <v>6.8000000000000007</v>
      </c>
      <c r="D452" s="1" t="str">
        <f t="shared" si="7"/>
        <v>10 mildən çox sifarişə 30 faiz endirim</v>
      </c>
    </row>
    <row r="453" spans="1:4" x14ac:dyDescent="0.3">
      <c r="A453" s="1" t="s">
        <v>845</v>
      </c>
      <c r="B453" s="3">
        <v>1.2</v>
      </c>
      <c r="C453" s="3">
        <v>3.2600000000000007</v>
      </c>
      <c r="D453" s="1" t="str">
        <f t="shared" si="7"/>
        <v>10 mildən çox sifarişə 30 faiz endirim</v>
      </c>
    </row>
    <row r="454" spans="1:4" x14ac:dyDescent="0.3">
      <c r="A454" s="1" t="s">
        <v>85</v>
      </c>
      <c r="B454" s="3">
        <v>1.5</v>
      </c>
      <c r="C454" s="3">
        <v>4.9000000000000004</v>
      </c>
      <c r="D454" s="1" t="str">
        <f t="shared" si="7"/>
        <v>10 mildən çox sifarişə 30 faiz endirim</v>
      </c>
    </row>
    <row r="455" spans="1:4" x14ac:dyDescent="0.3">
      <c r="A455" s="1" t="s">
        <v>159</v>
      </c>
      <c r="B455" s="3">
        <v>1</v>
      </c>
      <c r="C455" s="3">
        <v>0.9</v>
      </c>
      <c r="D455" s="1" t="str">
        <f t="shared" si="7"/>
        <v>10 mildən çox sifarişə 30 faiz endirim</v>
      </c>
    </row>
    <row r="456" spans="1:4" x14ac:dyDescent="0.3">
      <c r="A456" s="1" t="s">
        <v>900</v>
      </c>
      <c r="B456" s="3">
        <v>1</v>
      </c>
      <c r="C456" s="3">
        <v>4.3499999999999996</v>
      </c>
      <c r="D456" s="1" t="str">
        <f t="shared" si="7"/>
        <v>10 mildən çox sifarişə 30 faiz endirim</v>
      </c>
    </row>
    <row r="457" spans="1:4" x14ac:dyDescent="0.3">
      <c r="A457" s="1" t="s">
        <v>287</v>
      </c>
      <c r="B457" s="3">
        <v>1.25</v>
      </c>
      <c r="C457" s="3">
        <v>1.575</v>
      </c>
      <c r="D457" s="1" t="str">
        <f t="shared" si="7"/>
        <v>10 mildən çox sifarişə 30 faiz endirim</v>
      </c>
    </row>
    <row r="458" spans="1:4" x14ac:dyDescent="0.3">
      <c r="A458" s="1" t="s">
        <v>288</v>
      </c>
      <c r="B458" s="3">
        <v>1.3333333333333333</v>
      </c>
      <c r="C458" s="3">
        <v>6.6000000000000005</v>
      </c>
      <c r="D458" s="1" t="str">
        <f t="shared" si="7"/>
        <v>10 mildən çox sifarişə 30 faiz endirim</v>
      </c>
    </row>
    <row r="459" spans="1:4" x14ac:dyDescent="0.3">
      <c r="A459" s="1" t="s">
        <v>879</v>
      </c>
      <c r="B459" s="3">
        <v>1.5</v>
      </c>
      <c r="C459" s="3">
        <v>8.6999999999999993</v>
      </c>
      <c r="D459" s="1" t="str">
        <f t="shared" si="7"/>
        <v>tətbiq edilmir</v>
      </c>
    </row>
    <row r="460" spans="1:4" x14ac:dyDescent="0.3">
      <c r="A460" s="1" t="s">
        <v>402</v>
      </c>
      <c r="B460" s="3">
        <v>1</v>
      </c>
      <c r="C460" s="3">
        <v>6.75</v>
      </c>
      <c r="D460" s="1" t="str">
        <f t="shared" si="7"/>
        <v>10 mildən çox sifarişə 30 faiz endirim</v>
      </c>
    </row>
    <row r="461" spans="1:4" x14ac:dyDescent="0.3">
      <c r="A461" s="1" t="s">
        <v>599</v>
      </c>
      <c r="B461" s="3">
        <v>1</v>
      </c>
      <c r="C461" s="3">
        <v>9.0333333333333332</v>
      </c>
      <c r="D461" s="1" t="str">
        <f t="shared" si="7"/>
        <v>tətbiq edilmir</v>
      </c>
    </row>
    <row r="462" spans="1:4" x14ac:dyDescent="0.3">
      <c r="A462" s="1" t="s">
        <v>160</v>
      </c>
      <c r="B462" s="3">
        <v>1.6666666666666667</v>
      </c>
      <c r="C462" s="3">
        <v>3.3000000000000003</v>
      </c>
      <c r="D462" s="1" t="str">
        <f t="shared" si="7"/>
        <v>10 mildən çox sifarişə 20 faiz endirim</v>
      </c>
    </row>
    <row r="463" spans="1:4" x14ac:dyDescent="0.3">
      <c r="A463" s="1" t="s">
        <v>86</v>
      </c>
      <c r="B463" s="3">
        <v>1</v>
      </c>
      <c r="C463" s="3">
        <v>14.5</v>
      </c>
      <c r="D463" s="1" t="str">
        <f t="shared" si="7"/>
        <v>tətbiq edilmir</v>
      </c>
    </row>
    <row r="464" spans="1:4" x14ac:dyDescent="0.3">
      <c r="A464" s="1" t="s">
        <v>691</v>
      </c>
      <c r="B464" s="3">
        <v>2</v>
      </c>
      <c r="C464" s="3">
        <v>3.85</v>
      </c>
      <c r="D464" s="1" t="str">
        <f t="shared" si="7"/>
        <v>10 mildən çox sifarişə 20 faiz endirim</v>
      </c>
    </row>
    <row r="465" spans="1:4" x14ac:dyDescent="0.3">
      <c r="A465" s="1" t="s">
        <v>403</v>
      </c>
      <c r="B465" s="3">
        <v>1.6666666666666667</v>
      </c>
      <c r="C465" s="3">
        <v>2.5333333333333337</v>
      </c>
      <c r="D465" s="1" t="str">
        <f t="shared" si="7"/>
        <v>10 mildən çox sifarişə 20 faiz endirim</v>
      </c>
    </row>
    <row r="466" spans="1:4" x14ac:dyDescent="0.3">
      <c r="A466" s="1" t="s">
        <v>600</v>
      </c>
      <c r="B466" s="3">
        <v>1.3333333333333333</v>
      </c>
      <c r="C466" s="3">
        <v>4.5333333333333341</v>
      </c>
      <c r="D466" s="1" t="str">
        <f t="shared" si="7"/>
        <v>10 mildən çox sifarişə 30 faiz endirim</v>
      </c>
    </row>
    <row r="467" spans="1:4" x14ac:dyDescent="0.3">
      <c r="A467" s="1" t="s">
        <v>347</v>
      </c>
      <c r="B467" s="3">
        <v>1</v>
      </c>
      <c r="C467" s="3">
        <v>3.0999999999999996</v>
      </c>
      <c r="D467" s="1" t="str">
        <f t="shared" si="7"/>
        <v>10 mildən çox sifarişə 30 faiz endirim</v>
      </c>
    </row>
    <row r="468" spans="1:4" x14ac:dyDescent="0.3">
      <c r="A468" s="1" t="s">
        <v>633</v>
      </c>
      <c r="B468" s="3">
        <v>1.5</v>
      </c>
      <c r="C468" s="3">
        <v>8.8000000000000007</v>
      </c>
      <c r="D468" s="1" t="str">
        <f t="shared" si="7"/>
        <v>tətbiq edilmir</v>
      </c>
    </row>
    <row r="469" spans="1:4" x14ac:dyDescent="0.3">
      <c r="A469" s="1" t="s">
        <v>289</v>
      </c>
      <c r="B469" s="3">
        <v>1.4</v>
      </c>
      <c r="C469" s="3">
        <v>6.4</v>
      </c>
      <c r="D469" s="1" t="str">
        <f t="shared" si="7"/>
        <v>10 mildən çox sifarişə 30 faiz endirim</v>
      </c>
    </row>
    <row r="470" spans="1:4" x14ac:dyDescent="0.3">
      <c r="A470" s="1" t="s">
        <v>692</v>
      </c>
      <c r="B470" s="3">
        <v>1</v>
      </c>
      <c r="C470" s="3">
        <v>2.875</v>
      </c>
      <c r="D470" s="1" t="str">
        <f t="shared" si="7"/>
        <v>10 mildən çox sifarişə 30 faiz endirim</v>
      </c>
    </row>
    <row r="471" spans="1:4" x14ac:dyDescent="0.3">
      <c r="A471" s="1" t="s">
        <v>455</v>
      </c>
      <c r="B471" s="3">
        <v>1.1666666666666667</v>
      </c>
      <c r="C471" s="3">
        <v>5.2166666666666659</v>
      </c>
      <c r="D471" s="1" t="str">
        <f t="shared" si="7"/>
        <v>10 mildən çox sifarişə 30 faiz endirim</v>
      </c>
    </row>
    <row r="472" spans="1:4" x14ac:dyDescent="0.3">
      <c r="A472" s="1" t="s">
        <v>348</v>
      </c>
      <c r="B472" s="3">
        <v>1.2</v>
      </c>
      <c r="C472" s="3">
        <v>2.2999999999999998</v>
      </c>
      <c r="D472" s="1" t="str">
        <f t="shared" si="7"/>
        <v>10 mildən çox sifarişə 30 faiz endirim</v>
      </c>
    </row>
    <row r="473" spans="1:4" x14ac:dyDescent="0.3">
      <c r="A473" s="1" t="s">
        <v>812</v>
      </c>
      <c r="B473" s="3">
        <v>1</v>
      </c>
      <c r="C473" s="3">
        <v>5.3</v>
      </c>
      <c r="D473" s="1" t="str">
        <f t="shared" si="7"/>
        <v>10 mildən çox sifarişə 30 faiz endirim</v>
      </c>
    </row>
    <row r="474" spans="1:4" x14ac:dyDescent="0.3">
      <c r="A474" s="1" t="s">
        <v>87</v>
      </c>
      <c r="B474" s="3">
        <v>1.6666666666666667</v>
      </c>
      <c r="C474" s="3">
        <v>4.1666666666666661</v>
      </c>
      <c r="D474" s="1" t="str">
        <f t="shared" si="7"/>
        <v>10 mildən çox sifarişə 20 faiz endirim</v>
      </c>
    </row>
    <row r="475" spans="1:4" x14ac:dyDescent="0.3">
      <c r="A475" s="1" t="s">
        <v>349</v>
      </c>
      <c r="B475" s="3">
        <v>1.1666666666666667</v>
      </c>
      <c r="C475" s="3">
        <v>2.6833333333333336</v>
      </c>
      <c r="D475" s="1" t="str">
        <f t="shared" si="7"/>
        <v>10 mildən çox sifarişə 30 faiz endirim</v>
      </c>
    </row>
    <row r="476" spans="1:4" x14ac:dyDescent="0.3">
      <c r="A476" s="1" t="s">
        <v>161</v>
      </c>
      <c r="B476" s="3">
        <v>1.75</v>
      </c>
      <c r="C476" s="3">
        <v>6.4</v>
      </c>
      <c r="D476" s="1" t="str">
        <f t="shared" si="7"/>
        <v>10 mildən çox sifarişə 20 faiz endirim</v>
      </c>
    </row>
    <row r="477" spans="1:4" x14ac:dyDescent="0.3">
      <c r="A477" s="1" t="s">
        <v>162</v>
      </c>
      <c r="B477" s="3">
        <v>1</v>
      </c>
      <c r="C477" s="3">
        <v>1.6</v>
      </c>
      <c r="D477" s="1" t="str">
        <f t="shared" si="7"/>
        <v>10 mildən çox sifarişə 30 faiz endirim</v>
      </c>
    </row>
    <row r="478" spans="1:4" x14ac:dyDescent="0.3">
      <c r="A478" s="1" t="s">
        <v>456</v>
      </c>
      <c r="B478" s="3">
        <v>2.5</v>
      </c>
      <c r="C478" s="3">
        <v>11.75</v>
      </c>
      <c r="D478" s="1" t="str">
        <f t="shared" si="7"/>
        <v>10 mildən çox sifarişə 20 faiz endirim</v>
      </c>
    </row>
    <row r="479" spans="1:4" x14ac:dyDescent="0.3">
      <c r="A479" s="1" t="s">
        <v>290</v>
      </c>
      <c r="B479" s="3">
        <v>1</v>
      </c>
      <c r="C479" s="3">
        <v>2.2000000000000002</v>
      </c>
      <c r="D479" s="1" t="str">
        <f t="shared" si="7"/>
        <v>10 mildən çox sifarişə 30 faiz endirim</v>
      </c>
    </row>
    <row r="480" spans="1:4" x14ac:dyDescent="0.3">
      <c r="A480" s="1" t="s">
        <v>350</v>
      </c>
      <c r="B480" s="3">
        <v>2.3333333333333335</v>
      </c>
      <c r="C480" s="3">
        <v>11.066666666666668</v>
      </c>
      <c r="D480" s="1" t="str">
        <f t="shared" si="7"/>
        <v>10 mildən çox sifarişə 20 faiz endirim</v>
      </c>
    </row>
    <row r="481" spans="1:4" x14ac:dyDescent="0.3">
      <c r="A481" s="1" t="s">
        <v>404</v>
      </c>
      <c r="B481" s="3">
        <v>1</v>
      </c>
      <c r="C481" s="3">
        <v>2.4333333333333336</v>
      </c>
      <c r="D481" s="1" t="str">
        <f t="shared" si="7"/>
        <v>10 mildən çox sifarişə 30 faiz endirim</v>
      </c>
    </row>
    <row r="482" spans="1:4" x14ac:dyDescent="0.3">
      <c r="A482" s="1" t="s">
        <v>495</v>
      </c>
      <c r="B482" s="3">
        <v>1.25</v>
      </c>
      <c r="C482" s="3">
        <v>3.65</v>
      </c>
      <c r="D482" s="1" t="str">
        <f t="shared" si="7"/>
        <v>10 mildən çox sifarişə 30 faiz endirim</v>
      </c>
    </row>
    <row r="483" spans="1:4" x14ac:dyDescent="0.3">
      <c r="A483" s="1" t="s">
        <v>163</v>
      </c>
      <c r="B483" s="3">
        <v>1.6666666666666667</v>
      </c>
      <c r="C483" s="3">
        <v>6.7333333333333334</v>
      </c>
      <c r="D483" s="1" t="str">
        <f t="shared" si="7"/>
        <v>10 mildən çox sifarişə 20 faiz endirim</v>
      </c>
    </row>
    <row r="484" spans="1:4" x14ac:dyDescent="0.3">
      <c r="A484" s="1" t="s">
        <v>892</v>
      </c>
      <c r="B484" s="3">
        <v>1</v>
      </c>
      <c r="C484" s="3">
        <v>2.7666666666666671</v>
      </c>
      <c r="D484" s="1" t="str">
        <f t="shared" si="7"/>
        <v>10 mildən çox sifarişə 30 faiz endirim</v>
      </c>
    </row>
    <row r="485" spans="1:4" x14ac:dyDescent="0.3">
      <c r="A485" s="1" t="s">
        <v>634</v>
      </c>
      <c r="B485" s="3">
        <v>1.3333333333333333</v>
      </c>
      <c r="C485" s="3">
        <v>1.7333333333333334</v>
      </c>
      <c r="D485" s="1" t="str">
        <f t="shared" si="7"/>
        <v>10 mildən çox sifarişə 30 faiz endirim</v>
      </c>
    </row>
    <row r="486" spans="1:4" x14ac:dyDescent="0.3">
      <c r="A486" s="1" t="s">
        <v>813</v>
      </c>
      <c r="B486" s="3">
        <v>1.75</v>
      </c>
      <c r="C486" s="3">
        <v>13.299999999999999</v>
      </c>
      <c r="D486" s="1" t="str">
        <f t="shared" si="7"/>
        <v>10 mildən çox sifarişə 20 faiz endirim</v>
      </c>
    </row>
    <row r="487" spans="1:4" x14ac:dyDescent="0.3">
      <c r="A487" s="1" t="s">
        <v>635</v>
      </c>
      <c r="B487" s="3">
        <v>1.4</v>
      </c>
      <c r="C487" s="3">
        <v>6.92</v>
      </c>
      <c r="D487" s="1" t="str">
        <f t="shared" si="7"/>
        <v>10 mildən çox sifarişə 30 faiz endirim</v>
      </c>
    </row>
    <row r="488" spans="1:4" x14ac:dyDescent="0.3">
      <c r="A488" s="1" t="s">
        <v>568</v>
      </c>
      <c r="B488" s="3">
        <v>1.75</v>
      </c>
      <c r="C488" s="3">
        <v>11.75</v>
      </c>
      <c r="D488" s="1" t="str">
        <f t="shared" si="7"/>
        <v>10 mildən çox sifarişə 20 faiz endirim</v>
      </c>
    </row>
    <row r="489" spans="1:4" x14ac:dyDescent="0.3">
      <c r="A489" s="1" t="s">
        <v>746</v>
      </c>
      <c r="B489" s="3">
        <v>1.6666666666666667</v>
      </c>
      <c r="C489" s="3">
        <v>11.766666666666666</v>
      </c>
      <c r="D489" s="1" t="str">
        <f t="shared" si="7"/>
        <v>10 mildən çox sifarişə 20 faiz endirim</v>
      </c>
    </row>
    <row r="490" spans="1:4" x14ac:dyDescent="0.3">
      <c r="A490" s="1" t="s">
        <v>405</v>
      </c>
      <c r="B490" s="3">
        <v>2</v>
      </c>
      <c r="C490" s="3">
        <v>7.6333333333333337</v>
      </c>
      <c r="D490" s="1" t="str">
        <f t="shared" si="7"/>
        <v>10 mildən çox sifarişə 20 faiz endirim</v>
      </c>
    </row>
    <row r="491" spans="1:4" x14ac:dyDescent="0.3">
      <c r="A491" s="1" t="s">
        <v>636</v>
      </c>
      <c r="B491" s="3">
        <v>1.2</v>
      </c>
      <c r="C491" s="3">
        <v>1.92</v>
      </c>
      <c r="D491" s="1" t="str">
        <f t="shared" si="7"/>
        <v>10 mildən çox sifarişə 30 faiz endirim</v>
      </c>
    </row>
    <row r="492" spans="1:4" x14ac:dyDescent="0.3">
      <c r="A492" s="1" t="s">
        <v>236</v>
      </c>
      <c r="B492" s="3">
        <v>1</v>
      </c>
      <c r="C492" s="3">
        <v>2.1500000000000004</v>
      </c>
      <c r="D492" s="1" t="str">
        <f t="shared" si="7"/>
        <v>10 mildən çox sifarişə 30 faiz endirim</v>
      </c>
    </row>
    <row r="493" spans="1:4" x14ac:dyDescent="0.3">
      <c r="A493" s="1" t="s">
        <v>915</v>
      </c>
      <c r="B493" s="3">
        <v>1</v>
      </c>
      <c r="C493" s="3">
        <v>1.3</v>
      </c>
      <c r="D493" s="1" t="str">
        <f t="shared" si="7"/>
        <v>10 mildən çox sifarişə 30 faiz endirim</v>
      </c>
    </row>
    <row r="494" spans="1:4" x14ac:dyDescent="0.3">
      <c r="A494" s="1" t="s">
        <v>856</v>
      </c>
      <c r="B494" s="3">
        <v>1</v>
      </c>
      <c r="C494" s="3">
        <v>3.25</v>
      </c>
      <c r="D494" s="1" t="str">
        <f t="shared" si="7"/>
        <v>10 mildən çox sifarişə 30 faiz endirim</v>
      </c>
    </row>
    <row r="495" spans="1:4" x14ac:dyDescent="0.3">
      <c r="A495" s="1" t="s">
        <v>237</v>
      </c>
      <c r="B495" s="3">
        <v>2.2000000000000002</v>
      </c>
      <c r="C495" s="3">
        <v>10.88</v>
      </c>
      <c r="D495" s="1" t="str">
        <f t="shared" si="7"/>
        <v>10 mildən çox sifarişə 20 faiz endirim</v>
      </c>
    </row>
    <row r="496" spans="1:4" x14ac:dyDescent="0.3">
      <c r="A496" s="1" t="s">
        <v>525</v>
      </c>
      <c r="B496" s="3">
        <v>1.6</v>
      </c>
      <c r="C496" s="3">
        <v>6.5200000000000005</v>
      </c>
      <c r="D496" s="1" t="str">
        <f t="shared" si="7"/>
        <v>10 mildən çox sifarişə 20 faiz endirim</v>
      </c>
    </row>
    <row r="497" spans="1:4" x14ac:dyDescent="0.3">
      <c r="A497" s="1" t="s">
        <v>496</v>
      </c>
      <c r="B497" s="3">
        <v>1.8333333333333333</v>
      </c>
      <c r="C497" s="3">
        <v>5.9333333333333336</v>
      </c>
      <c r="D497" s="1" t="str">
        <f t="shared" si="7"/>
        <v>10 mildən çox sifarişə 20 faiz endirim</v>
      </c>
    </row>
    <row r="498" spans="1:4" x14ac:dyDescent="0.3">
      <c r="A498" s="1" t="s">
        <v>637</v>
      </c>
      <c r="B498" s="3">
        <v>1.5</v>
      </c>
      <c r="C498" s="3">
        <v>4.4250000000000007</v>
      </c>
      <c r="D498" s="1" t="str">
        <f t="shared" si="7"/>
        <v>10 mildən çox sifarişə 30 faiz endirim</v>
      </c>
    </row>
    <row r="499" spans="1:4" x14ac:dyDescent="0.3">
      <c r="A499" s="1" t="s">
        <v>638</v>
      </c>
      <c r="B499" s="3">
        <v>1.75</v>
      </c>
      <c r="C499" s="3">
        <v>4.05</v>
      </c>
      <c r="D499" s="1" t="str">
        <f t="shared" si="7"/>
        <v>10 mildən çox sifarişə 20 faiz endirim</v>
      </c>
    </row>
    <row r="500" spans="1:4" x14ac:dyDescent="0.3">
      <c r="A500" s="1" t="s">
        <v>747</v>
      </c>
      <c r="B500" s="3">
        <v>1.4</v>
      </c>
      <c r="C500" s="3">
        <v>3.0800000000000005</v>
      </c>
      <c r="D500" s="1" t="str">
        <f t="shared" si="7"/>
        <v>10 mildən çox sifarişə 30 faiz endirim</v>
      </c>
    </row>
    <row r="501" spans="1:4" x14ac:dyDescent="0.3">
      <c r="A501" s="1" t="s">
        <v>773</v>
      </c>
      <c r="B501" s="3">
        <v>1.6666666666666667</v>
      </c>
      <c r="C501" s="3">
        <v>3.4000000000000004</v>
      </c>
      <c r="D501" s="1" t="str">
        <f t="shared" si="7"/>
        <v>10 mildən çox sifarişə 20 faiz endirim</v>
      </c>
    </row>
    <row r="502" spans="1:4" x14ac:dyDescent="0.3">
      <c r="A502" s="1" t="s">
        <v>291</v>
      </c>
      <c r="B502" s="3">
        <v>1.25</v>
      </c>
      <c r="C502" s="3">
        <v>2.5750000000000002</v>
      </c>
      <c r="D502" s="1" t="str">
        <f t="shared" si="7"/>
        <v>10 mildən çox sifarişə 30 faiz endirim</v>
      </c>
    </row>
    <row r="503" spans="1:4" x14ac:dyDescent="0.3">
      <c r="A503" s="1" t="s">
        <v>406</v>
      </c>
      <c r="B503" s="3">
        <v>1.4</v>
      </c>
      <c r="C503" s="3">
        <v>6.7200000000000006</v>
      </c>
      <c r="D503" s="1" t="str">
        <f t="shared" si="7"/>
        <v>10 mildən çox sifarişə 30 faiz endirim</v>
      </c>
    </row>
    <row r="504" spans="1:4" x14ac:dyDescent="0.3">
      <c r="A504" s="1" t="s">
        <v>710</v>
      </c>
      <c r="B504" s="3">
        <v>1.3333333333333333</v>
      </c>
      <c r="C504" s="3">
        <v>6.1499999999999995</v>
      </c>
      <c r="D504" s="1" t="str">
        <f t="shared" si="7"/>
        <v>10 mildən çox sifarişə 30 faiz endirim</v>
      </c>
    </row>
    <row r="505" spans="1:4" x14ac:dyDescent="0.3">
      <c r="A505" s="1" t="s">
        <v>164</v>
      </c>
      <c r="B505" s="3">
        <v>1.2</v>
      </c>
      <c r="C505" s="3">
        <v>4.5200000000000005</v>
      </c>
      <c r="D505" s="1" t="str">
        <f t="shared" si="7"/>
        <v>10 mildən çox sifarişə 30 faiz endirim</v>
      </c>
    </row>
    <row r="506" spans="1:4" x14ac:dyDescent="0.3">
      <c r="A506" s="1" t="s">
        <v>814</v>
      </c>
      <c r="B506" s="3">
        <v>1.5</v>
      </c>
      <c r="C506" s="3">
        <v>9.1</v>
      </c>
      <c r="D506" s="1" t="str">
        <f t="shared" si="7"/>
        <v>tətbiq edilmir</v>
      </c>
    </row>
    <row r="507" spans="1:4" x14ac:dyDescent="0.3">
      <c r="A507" s="1" t="s">
        <v>238</v>
      </c>
      <c r="B507" s="3">
        <v>1.3333333333333333</v>
      </c>
      <c r="C507" s="3">
        <v>3.6999999999999997</v>
      </c>
      <c r="D507" s="1" t="str">
        <f t="shared" si="7"/>
        <v>10 mildən çox sifarişə 30 faiz endirim</v>
      </c>
    </row>
    <row r="508" spans="1:4" x14ac:dyDescent="0.3">
      <c r="A508" s="1" t="s">
        <v>601</v>
      </c>
      <c r="B508" s="3">
        <v>2</v>
      </c>
      <c r="C508" s="3">
        <v>5.2</v>
      </c>
      <c r="D508" s="1" t="str">
        <f t="shared" si="7"/>
        <v>10 mildən çox sifarişə 20 faiz endirim</v>
      </c>
    </row>
    <row r="509" spans="1:4" x14ac:dyDescent="0.3">
      <c r="A509" s="1" t="s">
        <v>639</v>
      </c>
      <c r="B509" s="3">
        <v>1.3333333333333333</v>
      </c>
      <c r="C509" s="3">
        <v>6.8</v>
      </c>
      <c r="D509" s="1" t="str">
        <f t="shared" si="7"/>
        <v>10 mildən çox sifarişə 30 faiz endirim</v>
      </c>
    </row>
    <row r="510" spans="1:4" x14ac:dyDescent="0.3">
      <c r="A510" s="1" t="s">
        <v>292</v>
      </c>
      <c r="B510" s="3">
        <v>1.6666666666666667</v>
      </c>
      <c r="C510" s="3">
        <v>8.1</v>
      </c>
      <c r="D510" s="1" t="str">
        <f t="shared" si="7"/>
        <v>10 mildən çox sifarişə 20 faiz endirim</v>
      </c>
    </row>
    <row r="511" spans="1:4" x14ac:dyDescent="0.3">
      <c r="A511" s="1" t="s">
        <v>165</v>
      </c>
      <c r="B511" s="3">
        <v>1.4</v>
      </c>
      <c r="C511" s="3">
        <v>6.3400000000000007</v>
      </c>
      <c r="D511" s="1" t="str">
        <f t="shared" si="7"/>
        <v>10 mildən çox sifarişə 30 faiz endirim</v>
      </c>
    </row>
    <row r="512" spans="1:4" x14ac:dyDescent="0.3">
      <c r="A512" s="1" t="s">
        <v>569</v>
      </c>
      <c r="B512" s="3">
        <v>1.5</v>
      </c>
      <c r="C512" s="3">
        <v>4.4499999999999993</v>
      </c>
      <c r="D512" s="1" t="str">
        <f t="shared" si="7"/>
        <v>10 mildən çox sifarişə 30 faiz endirim</v>
      </c>
    </row>
    <row r="513" spans="1:4" x14ac:dyDescent="0.3">
      <c r="A513" s="1" t="s">
        <v>457</v>
      </c>
      <c r="B513" s="3">
        <v>1.5</v>
      </c>
      <c r="C513" s="3">
        <v>5.6999999999999993</v>
      </c>
      <c r="D513" s="1" t="str">
        <f t="shared" si="7"/>
        <v>10 mildən çox sifarişə 30 faiz endirim</v>
      </c>
    </row>
    <row r="514" spans="1:4" x14ac:dyDescent="0.3">
      <c r="A514" s="1" t="s">
        <v>901</v>
      </c>
      <c r="B514" s="3">
        <v>1</v>
      </c>
      <c r="C514" s="3">
        <v>7.2</v>
      </c>
      <c r="D514" s="1" t="str">
        <f t="shared" si="7"/>
        <v>tətbiq edilmir</v>
      </c>
    </row>
    <row r="515" spans="1:4" x14ac:dyDescent="0.3">
      <c r="A515" s="1" t="s">
        <v>458</v>
      </c>
      <c r="B515" s="3">
        <v>1.25</v>
      </c>
      <c r="C515" s="3">
        <v>24.9</v>
      </c>
      <c r="D515" s="1" t="str">
        <f t="shared" ref="D515:D578" si="8">IF( B515&lt;1, "gündəlik bir gedişə 30% endirim", IF(B515&gt;1.5, "10 mildən çox sifarişə 20 faiz endirim", IF(C515&lt;7, "10 mildən çox sifarişə 30 faiz endirim", "tətbiq edilmir") ))</f>
        <v>tətbiq edilmir</v>
      </c>
    </row>
    <row r="516" spans="1:4" x14ac:dyDescent="0.3">
      <c r="A516" s="1" t="s">
        <v>88</v>
      </c>
      <c r="B516" s="3">
        <v>1.6666666666666667</v>
      </c>
      <c r="C516" s="3">
        <v>12.866666666666667</v>
      </c>
      <c r="D516" s="1" t="str">
        <f t="shared" si="8"/>
        <v>10 mildən çox sifarişə 20 faiz endirim</v>
      </c>
    </row>
    <row r="517" spans="1:4" x14ac:dyDescent="0.3">
      <c r="A517" s="1" t="s">
        <v>526</v>
      </c>
      <c r="B517" s="3">
        <v>1.2</v>
      </c>
      <c r="C517" s="3">
        <v>5.62</v>
      </c>
      <c r="D517" s="1" t="str">
        <f t="shared" si="8"/>
        <v>10 mildən çox sifarişə 30 faiz endirim</v>
      </c>
    </row>
    <row r="518" spans="1:4" x14ac:dyDescent="0.3">
      <c r="A518" s="1" t="s">
        <v>602</v>
      </c>
      <c r="B518" s="3">
        <v>1.5</v>
      </c>
      <c r="C518" s="3">
        <v>7.375</v>
      </c>
      <c r="D518" s="1" t="str">
        <f t="shared" si="8"/>
        <v>tətbiq edilmir</v>
      </c>
    </row>
    <row r="519" spans="1:4" x14ac:dyDescent="0.3">
      <c r="A519" s="1" t="s">
        <v>677</v>
      </c>
      <c r="B519" s="3">
        <v>1.2</v>
      </c>
      <c r="C519" s="3">
        <v>3.8600000000000003</v>
      </c>
      <c r="D519" s="1" t="str">
        <f t="shared" si="8"/>
        <v>10 mildən çox sifarişə 30 faiz endirim</v>
      </c>
    </row>
    <row r="520" spans="1:4" x14ac:dyDescent="0.3">
      <c r="A520" s="1" t="s">
        <v>89</v>
      </c>
      <c r="B520" s="3">
        <v>1.6</v>
      </c>
      <c r="C520" s="3">
        <v>7.580000000000001</v>
      </c>
      <c r="D520" s="1" t="str">
        <f t="shared" si="8"/>
        <v>10 mildən çox sifarişə 20 faiz endirim</v>
      </c>
    </row>
    <row r="521" spans="1:4" x14ac:dyDescent="0.3">
      <c r="A521" s="1" t="s">
        <v>90</v>
      </c>
      <c r="B521" s="3">
        <v>2</v>
      </c>
      <c r="C521" s="3">
        <v>16.68</v>
      </c>
      <c r="D521" s="1" t="str">
        <f t="shared" si="8"/>
        <v>10 mildən çox sifarişə 20 faiz endirim</v>
      </c>
    </row>
    <row r="522" spans="1:4" x14ac:dyDescent="0.3">
      <c r="A522" s="1" t="s">
        <v>866</v>
      </c>
      <c r="B522" s="3">
        <v>1.3333333333333333</v>
      </c>
      <c r="C522" s="3">
        <v>2.7333333333333329</v>
      </c>
      <c r="D522" s="1" t="str">
        <f t="shared" si="8"/>
        <v>10 mildən çox sifarişə 30 faiz endirim</v>
      </c>
    </row>
    <row r="523" spans="1:4" x14ac:dyDescent="0.3">
      <c r="A523" s="1" t="s">
        <v>784</v>
      </c>
      <c r="B523" s="3">
        <v>1.3333333333333333</v>
      </c>
      <c r="C523" s="3">
        <v>9.2666666666666657</v>
      </c>
      <c r="D523" s="1" t="str">
        <f t="shared" si="8"/>
        <v>tətbiq edilmir</v>
      </c>
    </row>
    <row r="524" spans="1:4" x14ac:dyDescent="0.3">
      <c r="A524" s="1" t="s">
        <v>407</v>
      </c>
      <c r="B524" s="3">
        <v>1.25</v>
      </c>
      <c r="C524" s="3">
        <v>18.850000000000001</v>
      </c>
      <c r="D524" s="1" t="str">
        <f t="shared" si="8"/>
        <v>tətbiq edilmir</v>
      </c>
    </row>
    <row r="525" spans="1:4" x14ac:dyDescent="0.3">
      <c r="A525" s="1" t="s">
        <v>351</v>
      </c>
      <c r="B525" s="3">
        <v>1.5</v>
      </c>
      <c r="C525" s="3">
        <v>4.75</v>
      </c>
      <c r="D525" s="1" t="str">
        <f t="shared" si="8"/>
        <v>10 mildən çox sifarişə 30 faiz endirim</v>
      </c>
    </row>
    <row r="526" spans="1:4" x14ac:dyDescent="0.3">
      <c r="A526" s="1" t="s">
        <v>91</v>
      </c>
      <c r="B526" s="3">
        <v>1.4</v>
      </c>
      <c r="C526" s="3">
        <v>5.2200000000000006</v>
      </c>
      <c r="D526" s="1" t="str">
        <f t="shared" si="8"/>
        <v>10 mildən çox sifarişə 30 faiz endirim</v>
      </c>
    </row>
    <row r="527" spans="1:4" x14ac:dyDescent="0.3">
      <c r="A527" s="1" t="s">
        <v>570</v>
      </c>
      <c r="B527" s="3">
        <v>1.25</v>
      </c>
      <c r="C527" s="3">
        <v>8.0500000000000007</v>
      </c>
      <c r="D527" s="1" t="str">
        <f t="shared" si="8"/>
        <v>tətbiq edilmir</v>
      </c>
    </row>
    <row r="528" spans="1:4" x14ac:dyDescent="0.3">
      <c r="A528" s="1" t="s">
        <v>352</v>
      </c>
      <c r="B528" s="3">
        <v>1</v>
      </c>
      <c r="C528" s="3">
        <v>2.46</v>
      </c>
      <c r="D528" s="1" t="str">
        <f t="shared" si="8"/>
        <v>10 mildən çox sifarişə 30 faiz endirim</v>
      </c>
    </row>
    <row r="529" spans="1:4" x14ac:dyDescent="0.3">
      <c r="A529" s="1" t="s">
        <v>571</v>
      </c>
      <c r="B529" s="3">
        <v>2.3333333333333335</v>
      </c>
      <c r="C529" s="3">
        <v>7.5333333333333341</v>
      </c>
      <c r="D529" s="1" t="str">
        <f t="shared" si="8"/>
        <v>10 mildən çox sifarişə 20 faiz endirim</v>
      </c>
    </row>
    <row r="530" spans="1:4" x14ac:dyDescent="0.3">
      <c r="A530" s="1" t="s">
        <v>888</v>
      </c>
      <c r="B530" s="3">
        <v>1.5</v>
      </c>
      <c r="C530" s="3">
        <v>6.75</v>
      </c>
      <c r="D530" s="1" t="str">
        <f t="shared" si="8"/>
        <v>10 mildən çox sifarişə 30 faiz endirim</v>
      </c>
    </row>
    <row r="531" spans="1:4" x14ac:dyDescent="0.3">
      <c r="A531" s="1" t="s">
        <v>930</v>
      </c>
      <c r="B531" s="3">
        <v>1</v>
      </c>
      <c r="C531" s="3">
        <v>1.7</v>
      </c>
      <c r="D531" s="1" t="str">
        <f t="shared" si="8"/>
        <v>10 mildən çox sifarişə 30 faiz endirim</v>
      </c>
    </row>
    <row r="532" spans="1:4" x14ac:dyDescent="0.3">
      <c r="A532" s="1" t="s">
        <v>459</v>
      </c>
      <c r="B532" s="3">
        <v>1.2</v>
      </c>
      <c r="C532" s="3">
        <v>5.08</v>
      </c>
      <c r="D532" s="1" t="str">
        <f t="shared" si="8"/>
        <v>10 mildən çox sifarişə 30 faiz endirim</v>
      </c>
    </row>
    <row r="533" spans="1:4" x14ac:dyDescent="0.3">
      <c r="A533" s="1" t="s">
        <v>239</v>
      </c>
      <c r="B533" s="3">
        <v>1</v>
      </c>
      <c r="C533" s="3">
        <v>3.875</v>
      </c>
      <c r="D533" s="1" t="str">
        <f t="shared" si="8"/>
        <v>10 mildən çox sifarişə 30 faiz endirim</v>
      </c>
    </row>
    <row r="534" spans="1:4" x14ac:dyDescent="0.3">
      <c r="A534" s="1" t="s">
        <v>353</v>
      </c>
      <c r="B534" s="3">
        <v>1.5</v>
      </c>
      <c r="C534" s="3">
        <v>3.1666666666666665</v>
      </c>
      <c r="D534" s="1" t="str">
        <f t="shared" si="8"/>
        <v>10 mildən çox sifarişə 30 faiz endirim</v>
      </c>
    </row>
    <row r="535" spans="1:4" x14ac:dyDescent="0.3">
      <c r="A535" s="1" t="s">
        <v>497</v>
      </c>
      <c r="B535" s="3">
        <v>1.2</v>
      </c>
      <c r="C535" s="3">
        <v>3.1</v>
      </c>
      <c r="D535" s="1" t="str">
        <f t="shared" si="8"/>
        <v>10 mildən çox sifarişə 30 faiz endirim</v>
      </c>
    </row>
    <row r="536" spans="1:4" x14ac:dyDescent="0.3">
      <c r="A536" s="1" t="s">
        <v>460</v>
      </c>
      <c r="B536" s="3">
        <v>1.5</v>
      </c>
      <c r="C536" s="3">
        <v>3.3</v>
      </c>
      <c r="D536" s="1" t="str">
        <f t="shared" si="8"/>
        <v>10 mildən çox sifarişə 30 faiz endirim</v>
      </c>
    </row>
    <row r="537" spans="1:4" x14ac:dyDescent="0.3">
      <c r="A537" s="1" t="s">
        <v>678</v>
      </c>
      <c r="B537" s="3">
        <v>1.75</v>
      </c>
      <c r="C537" s="3">
        <v>11.825000000000001</v>
      </c>
      <c r="D537" s="1" t="str">
        <f t="shared" si="8"/>
        <v>10 mildən çox sifarişə 20 faiz endirim</v>
      </c>
    </row>
    <row r="538" spans="1:4" x14ac:dyDescent="0.3">
      <c r="A538" s="1" t="s">
        <v>408</v>
      </c>
      <c r="B538" s="3">
        <v>2</v>
      </c>
      <c r="C538" s="3">
        <v>11.824999999999999</v>
      </c>
      <c r="D538" s="1" t="str">
        <f t="shared" si="8"/>
        <v>10 mildən çox sifarişə 20 faiz endirim</v>
      </c>
    </row>
    <row r="539" spans="1:4" x14ac:dyDescent="0.3">
      <c r="A539" s="1" t="s">
        <v>831</v>
      </c>
      <c r="B539" s="3">
        <v>1</v>
      </c>
      <c r="C539" s="3">
        <v>3.8666666666666667</v>
      </c>
      <c r="D539" s="1" t="str">
        <f t="shared" si="8"/>
        <v>10 mildən çox sifarişə 30 faiz endirim</v>
      </c>
    </row>
    <row r="540" spans="1:4" x14ac:dyDescent="0.3">
      <c r="A540" s="1" t="s">
        <v>785</v>
      </c>
      <c r="B540" s="3">
        <v>1.3333333333333333</v>
      </c>
      <c r="C540" s="3">
        <v>5.7</v>
      </c>
      <c r="D540" s="1" t="str">
        <f t="shared" si="8"/>
        <v>10 mildən çox sifarişə 30 faiz endirim</v>
      </c>
    </row>
    <row r="541" spans="1:4" x14ac:dyDescent="0.3">
      <c r="A541" s="1" t="s">
        <v>166</v>
      </c>
      <c r="B541" s="3">
        <v>1.75</v>
      </c>
      <c r="C541" s="3">
        <v>6.5250000000000004</v>
      </c>
      <c r="D541" s="1" t="str">
        <f t="shared" si="8"/>
        <v>10 mildən çox sifarişə 20 faiz endirim</v>
      </c>
    </row>
    <row r="542" spans="1:4" x14ac:dyDescent="0.3">
      <c r="A542" s="1" t="s">
        <v>293</v>
      </c>
      <c r="B542" s="3">
        <v>1.25</v>
      </c>
      <c r="C542" s="3">
        <v>4.7250000000000005</v>
      </c>
      <c r="D542" s="1" t="str">
        <f t="shared" si="8"/>
        <v>10 mildən çox sifarişə 30 faiz endirim</v>
      </c>
    </row>
    <row r="543" spans="1:4" x14ac:dyDescent="0.3">
      <c r="A543" s="1" t="s">
        <v>679</v>
      </c>
      <c r="B543" s="3">
        <v>2.3333333333333335</v>
      </c>
      <c r="C543" s="3">
        <v>5.8999999999999995</v>
      </c>
      <c r="D543" s="1" t="str">
        <f t="shared" si="8"/>
        <v>10 mildən çox sifarişə 20 faiz endirim</v>
      </c>
    </row>
    <row r="544" spans="1:4" x14ac:dyDescent="0.3">
      <c r="A544" s="1" t="s">
        <v>92</v>
      </c>
      <c r="B544" s="3">
        <v>2.25</v>
      </c>
      <c r="C544" s="3">
        <v>4.8250000000000011</v>
      </c>
      <c r="D544" s="1" t="str">
        <f t="shared" si="8"/>
        <v>10 mildən çox sifarişə 20 faiz endirim</v>
      </c>
    </row>
    <row r="545" spans="1:4" x14ac:dyDescent="0.3">
      <c r="A545" s="1" t="s">
        <v>572</v>
      </c>
      <c r="B545" s="3">
        <v>1</v>
      </c>
      <c r="C545" s="3">
        <v>3.3166666666666664</v>
      </c>
      <c r="D545" s="1" t="str">
        <f t="shared" si="8"/>
        <v>10 mildən çox sifarişə 30 faiz endirim</v>
      </c>
    </row>
    <row r="546" spans="1:4" x14ac:dyDescent="0.3">
      <c r="A546" s="1" t="s">
        <v>167</v>
      </c>
      <c r="B546" s="3">
        <v>1.5</v>
      </c>
      <c r="C546" s="3">
        <v>6.9</v>
      </c>
      <c r="D546" s="1" t="str">
        <f t="shared" si="8"/>
        <v>10 mildən çox sifarişə 30 faiz endirim</v>
      </c>
    </row>
    <row r="547" spans="1:4" x14ac:dyDescent="0.3">
      <c r="A547" s="1" t="s">
        <v>880</v>
      </c>
      <c r="B547" s="3">
        <v>1.3333333333333333</v>
      </c>
      <c r="C547" s="3">
        <v>3.6</v>
      </c>
      <c r="D547" s="1" t="str">
        <f t="shared" si="8"/>
        <v>10 mildən çox sifarişə 30 faiz endirim</v>
      </c>
    </row>
    <row r="548" spans="1:4" x14ac:dyDescent="0.3">
      <c r="A548" s="1" t="s">
        <v>926</v>
      </c>
      <c r="B548" s="3">
        <v>1</v>
      </c>
      <c r="C548" s="3">
        <v>1.5999999999999999</v>
      </c>
      <c r="D548" s="1" t="str">
        <f t="shared" si="8"/>
        <v>10 mildən çox sifarişə 30 faiz endirim</v>
      </c>
    </row>
    <row r="549" spans="1:4" x14ac:dyDescent="0.3">
      <c r="A549" s="1" t="s">
        <v>680</v>
      </c>
      <c r="B549" s="3">
        <v>1</v>
      </c>
      <c r="C549" s="3">
        <v>3.1333333333333333</v>
      </c>
      <c r="D549" s="1" t="str">
        <f t="shared" si="8"/>
        <v>10 mildən çox sifarişə 30 faiz endirim</v>
      </c>
    </row>
    <row r="550" spans="1:4" x14ac:dyDescent="0.3">
      <c r="A550" s="1" t="s">
        <v>409</v>
      </c>
      <c r="B550" s="3">
        <v>1.4</v>
      </c>
      <c r="C550" s="3">
        <v>3.5599999999999996</v>
      </c>
      <c r="D550" s="1" t="str">
        <f t="shared" si="8"/>
        <v>10 mildən çox sifarişə 30 faiz endirim</v>
      </c>
    </row>
    <row r="551" spans="1:4" x14ac:dyDescent="0.3">
      <c r="A551" s="1" t="s">
        <v>786</v>
      </c>
      <c r="B551" s="3">
        <v>1.25</v>
      </c>
      <c r="C551" s="3">
        <v>7.2249999999999996</v>
      </c>
      <c r="D551" s="1" t="str">
        <f t="shared" si="8"/>
        <v>tətbiq edilmir</v>
      </c>
    </row>
    <row r="552" spans="1:4" x14ac:dyDescent="0.3">
      <c r="A552" s="1" t="s">
        <v>857</v>
      </c>
      <c r="B552" s="3">
        <v>1.5</v>
      </c>
      <c r="C552" s="3">
        <v>2.6</v>
      </c>
      <c r="D552" s="1" t="str">
        <f t="shared" si="8"/>
        <v>10 mildən çox sifarişə 30 faiz endirim</v>
      </c>
    </row>
    <row r="553" spans="1:4" x14ac:dyDescent="0.3">
      <c r="A553" s="1" t="s">
        <v>640</v>
      </c>
      <c r="B553" s="3">
        <v>1.6666666666666667</v>
      </c>
      <c r="C553" s="3">
        <v>4.7666666666666666</v>
      </c>
      <c r="D553" s="1" t="str">
        <f t="shared" si="8"/>
        <v>10 mildən çox sifarişə 20 faiz endirim</v>
      </c>
    </row>
    <row r="554" spans="1:4" x14ac:dyDescent="0.3">
      <c r="A554" s="1" t="s">
        <v>354</v>
      </c>
      <c r="B554" s="3">
        <v>1.5</v>
      </c>
      <c r="C554" s="3">
        <v>4.05</v>
      </c>
      <c r="D554" s="1" t="str">
        <f t="shared" si="8"/>
        <v>10 mildən çox sifarişə 30 faiz endirim</v>
      </c>
    </row>
    <row r="555" spans="1:4" x14ac:dyDescent="0.3">
      <c r="A555" s="1" t="s">
        <v>681</v>
      </c>
      <c r="B555" s="3">
        <v>1.6666666666666667</v>
      </c>
      <c r="C555" s="3">
        <v>4.833333333333333</v>
      </c>
      <c r="D555" s="1" t="str">
        <f t="shared" si="8"/>
        <v>10 mildən çox sifarişə 20 faiz endirim</v>
      </c>
    </row>
    <row r="556" spans="1:4" x14ac:dyDescent="0.3">
      <c r="A556" s="1" t="s">
        <v>748</v>
      </c>
      <c r="B556" s="3">
        <v>1</v>
      </c>
      <c r="C556" s="3">
        <v>5.4666666666666659</v>
      </c>
      <c r="D556" s="1" t="str">
        <f t="shared" si="8"/>
        <v>10 mildən çox sifarişə 30 faiz endirim</v>
      </c>
    </row>
    <row r="557" spans="1:4" x14ac:dyDescent="0.3">
      <c r="A557" s="1" t="s">
        <v>815</v>
      </c>
      <c r="B557" s="3">
        <v>1.25</v>
      </c>
      <c r="C557" s="3">
        <v>3.375</v>
      </c>
      <c r="D557" s="1" t="str">
        <f t="shared" si="8"/>
        <v>10 mildən çox sifarişə 30 faiz endirim</v>
      </c>
    </row>
    <row r="558" spans="1:4" x14ac:dyDescent="0.3">
      <c r="A558" s="1" t="s">
        <v>527</v>
      </c>
      <c r="B558" s="3">
        <v>1.6</v>
      </c>
      <c r="C558" s="3">
        <v>8.1999999999999993</v>
      </c>
      <c r="D558" s="1" t="str">
        <f t="shared" si="8"/>
        <v>10 mildən çox sifarişə 20 faiz endirim</v>
      </c>
    </row>
    <row r="559" spans="1:4" x14ac:dyDescent="0.3">
      <c r="A559" s="1" t="s">
        <v>641</v>
      </c>
      <c r="B559" s="3">
        <v>1</v>
      </c>
      <c r="C559" s="3">
        <v>3.9750000000000001</v>
      </c>
      <c r="D559" s="1" t="str">
        <f t="shared" si="8"/>
        <v>10 mildən çox sifarişə 30 faiz endirim</v>
      </c>
    </row>
    <row r="560" spans="1:4" x14ac:dyDescent="0.3">
      <c r="A560" s="1" t="s">
        <v>355</v>
      </c>
      <c r="B560" s="3">
        <v>1</v>
      </c>
      <c r="C560" s="3">
        <v>17.100000000000001</v>
      </c>
      <c r="D560" s="1" t="str">
        <f t="shared" si="8"/>
        <v>tətbiq edilmir</v>
      </c>
    </row>
    <row r="561" spans="1:4" x14ac:dyDescent="0.3">
      <c r="A561" s="1" t="s">
        <v>240</v>
      </c>
      <c r="B561" s="3">
        <v>2</v>
      </c>
      <c r="C561" s="3">
        <v>5.3</v>
      </c>
      <c r="D561" s="1" t="str">
        <f t="shared" si="8"/>
        <v>10 mildən çox sifarişə 20 faiz endirim</v>
      </c>
    </row>
    <row r="562" spans="1:4" x14ac:dyDescent="0.3">
      <c r="A562" s="1" t="s">
        <v>726</v>
      </c>
      <c r="B562" s="3">
        <v>1.2</v>
      </c>
      <c r="C562" s="3">
        <v>3.04</v>
      </c>
      <c r="D562" s="1" t="str">
        <f t="shared" si="8"/>
        <v>10 mildən çox sifarişə 30 faiz endirim</v>
      </c>
    </row>
    <row r="563" spans="1:4" x14ac:dyDescent="0.3">
      <c r="A563" s="1" t="s">
        <v>573</v>
      </c>
      <c r="B563" s="3">
        <v>1.5</v>
      </c>
      <c r="C563" s="3">
        <v>3.55</v>
      </c>
      <c r="D563" s="1" t="str">
        <f t="shared" si="8"/>
        <v>10 mildən çox sifarişə 30 faiz endirim</v>
      </c>
    </row>
    <row r="564" spans="1:4" x14ac:dyDescent="0.3">
      <c r="A564" s="1" t="s">
        <v>93</v>
      </c>
      <c r="B564" s="3">
        <v>1.25</v>
      </c>
      <c r="C564" s="3">
        <v>10.125</v>
      </c>
      <c r="D564" s="1" t="str">
        <f t="shared" si="8"/>
        <v>tətbiq edilmir</v>
      </c>
    </row>
    <row r="565" spans="1:4" x14ac:dyDescent="0.3">
      <c r="A565" s="1" t="s">
        <v>873</v>
      </c>
      <c r="B565" s="3">
        <v>1.5</v>
      </c>
      <c r="C565" s="3">
        <v>15.174999999999999</v>
      </c>
      <c r="D565" s="1" t="str">
        <f t="shared" si="8"/>
        <v>tətbiq edilmir</v>
      </c>
    </row>
    <row r="566" spans="1:4" x14ac:dyDescent="0.3">
      <c r="A566" s="1" t="s">
        <v>498</v>
      </c>
      <c r="B566" s="3">
        <v>1.3333333333333333</v>
      </c>
      <c r="C566" s="3">
        <v>2.9666666666666668</v>
      </c>
      <c r="D566" s="1" t="str">
        <f t="shared" si="8"/>
        <v>10 mildən çox sifarişə 30 faiz endirim</v>
      </c>
    </row>
    <row r="567" spans="1:4" x14ac:dyDescent="0.3">
      <c r="A567" s="1" t="s">
        <v>168</v>
      </c>
      <c r="B567" s="3">
        <v>3</v>
      </c>
      <c r="C567" s="3">
        <v>20.5</v>
      </c>
      <c r="D567" s="1" t="str">
        <f t="shared" si="8"/>
        <v>10 mildən çox sifarişə 20 faiz endirim</v>
      </c>
    </row>
    <row r="568" spans="1:4" x14ac:dyDescent="0.3">
      <c r="A568" s="1" t="s">
        <v>410</v>
      </c>
      <c r="B568" s="3">
        <v>1.5</v>
      </c>
      <c r="C568" s="3">
        <v>3.875</v>
      </c>
      <c r="D568" s="1" t="str">
        <f t="shared" si="8"/>
        <v>10 mildən çox sifarişə 30 faiz endirim</v>
      </c>
    </row>
    <row r="569" spans="1:4" x14ac:dyDescent="0.3">
      <c r="A569" s="1" t="s">
        <v>837</v>
      </c>
      <c r="B569" s="3">
        <v>1</v>
      </c>
      <c r="C569" s="3">
        <v>3.4333333333333331</v>
      </c>
      <c r="D569" s="1" t="str">
        <f t="shared" si="8"/>
        <v>10 mildən çox sifarişə 30 faiz endirim</v>
      </c>
    </row>
    <row r="570" spans="1:4" x14ac:dyDescent="0.3">
      <c r="A570" s="1" t="s">
        <v>461</v>
      </c>
      <c r="B570" s="3">
        <v>1.75</v>
      </c>
      <c r="C570" s="3">
        <v>4.0999999999999996</v>
      </c>
      <c r="D570" s="1" t="str">
        <f t="shared" si="8"/>
        <v>10 mildən çox sifarişə 20 faiz endirim</v>
      </c>
    </row>
    <row r="571" spans="1:4" x14ac:dyDescent="0.3">
      <c r="A571" s="1" t="s">
        <v>169</v>
      </c>
      <c r="B571" s="3">
        <v>1.8</v>
      </c>
      <c r="C571" s="3">
        <v>2.8</v>
      </c>
      <c r="D571" s="1" t="str">
        <f t="shared" si="8"/>
        <v>10 mildən çox sifarişə 20 faiz endirim</v>
      </c>
    </row>
    <row r="572" spans="1:4" x14ac:dyDescent="0.3">
      <c r="A572" s="1" t="s">
        <v>294</v>
      </c>
      <c r="B572" s="3">
        <v>1.2</v>
      </c>
      <c r="C572" s="3">
        <v>3.2</v>
      </c>
      <c r="D572" s="1" t="str">
        <f t="shared" si="8"/>
        <v>10 mildən çox sifarişə 30 faiz endirim</v>
      </c>
    </row>
    <row r="573" spans="1:4" x14ac:dyDescent="0.3">
      <c r="A573" s="1" t="s">
        <v>411</v>
      </c>
      <c r="B573" s="3">
        <v>1</v>
      </c>
      <c r="C573" s="3">
        <v>9.5500000000000007</v>
      </c>
      <c r="D573" s="1" t="str">
        <f t="shared" si="8"/>
        <v>tətbiq edilmir</v>
      </c>
    </row>
    <row r="574" spans="1:4" x14ac:dyDescent="0.3">
      <c r="A574" s="1" t="s">
        <v>574</v>
      </c>
      <c r="B574" s="3">
        <v>1</v>
      </c>
      <c r="C574" s="3">
        <v>4.3</v>
      </c>
      <c r="D574" s="1" t="str">
        <f t="shared" si="8"/>
        <v>10 mildən çox sifarişə 30 faiz endirim</v>
      </c>
    </row>
    <row r="575" spans="1:4" x14ac:dyDescent="0.3">
      <c r="A575" s="1" t="s">
        <v>774</v>
      </c>
      <c r="B575" s="3">
        <v>1.25</v>
      </c>
      <c r="C575" s="3">
        <v>3.65</v>
      </c>
      <c r="D575" s="1" t="str">
        <f t="shared" si="8"/>
        <v>10 mildən çox sifarişə 30 faiz endirim</v>
      </c>
    </row>
    <row r="576" spans="1:4" x14ac:dyDescent="0.3">
      <c r="A576" s="1" t="s">
        <v>816</v>
      </c>
      <c r="B576" s="3">
        <v>1.5</v>
      </c>
      <c r="C576" s="3">
        <v>11.35</v>
      </c>
      <c r="D576" s="1" t="str">
        <f t="shared" si="8"/>
        <v>tətbiq edilmir</v>
      </c>
    </row>
    <row r="577" spans="1:4" x14ac:dyDescent="0.3">
      <c r="A577" s="1" t="s">
        <v>94</v>
      </c>
      <c r="B577" s="3">
        <v>1.3333333333333333</v>
      </c>
      <c r="C577" s="3">
        <v>4.4499999999999993</v>
      </c>
      <c r="D577" s="1" t="str">
        <f t="shared" si="8"/>
        <v>10 mildən çox sifarişə 30 faiz endirim</v>
      </c>
    </row>
    <row r="578" spans="1:4" x14ac:dyDescent="0.3">
      <c r="A578" s="1" t="s">
        <v>170</v>
      </c>
      <c r="B578" s="3">
        <v>1.6</v>
      </c>
      <c r="C578" s="3">
        <v>3.7</v>
      </c>
      <c r="D578" s="1" t="str">
        <f t="shared" si="8"/>
        <v>10 mildən çox sifarişə 20 faiz endirim</v>
      </c>
    </row>
    <row r="579" spans="1:4" x14ac:dyDescent="0.3">
      <c r="A579" s="1" t="s">
        <v>727</v>
      </c>
      <c r="B579" s="3">
        <v>1.5</v>
      </c>
      <c r="C579" s="3">
        <v>9.1499999999999986</v>
      </c>
      <c r="D579" s="1" t="str">
        <f t="shared" ref="D579:D642" si="9">IF( B579&lt;1, "gündəlik bir gedişə 30% endirim", IF(B579&gt;1.5, "10 mildən çox sifarişə 20 faiz endirim", IF(C579&lt;7, "10 mildən çox sifarişə 30 faiz endirim", "tətbiq edilmir") ))</f>
        <v>tətbiq edilmir</v>
      </c>
    </row>
    <row r="580" spans="1:4" x14ac:dyDescent="0.3">
      <c r="A580" s="1" t="s">
        <v>642</v>
      </c>
      <c r="B580" s="3">
        <v>1.25</v>
      </c>
      <c r="C580" s="3">
        <v>5.7</v>
      </c>
      <c r="D580" s="1" t="str">
        <f t="shared" si="9"/>
        <v>10 mildən çox sifarişə 30 faiz endirim</v>
      </c>
    </row>
    <row r="581" spans="1:4" x14ac:dyDescent="0.3">
      <c r="A581" s="1" t="s">
        <v>711</v>
      </c>
      <c r="B581" s="3">
        <v>1.5</v>
      </c>
      <c r="C581" s="3">
        <v>7.125</v>
      </c>
      <c r="D581" s="1" t="str">
        <f t="shared" si="9"/>
        <v>tətbiq edilmir</v>
      </c>
    </row>
    <row r="582" spans="1:4" x14ac:dyDescent="0.3">
      <c r="A582" s="1" t="s">
        <v>171</v>
      </c>
      <c r="B582" s="3">
        <v>1.4285714285714286</v>
      </c>
      <c r="C582" s="3">
        <v>6.2000000000000011</v>
      </c>
      <c r="D582" s="1" t="str">
        <f t="shared" si="9"/>
        <v>10 mildən çox sifarişə 30 faiz endirim</v>
      </c>
    </row>
    <row r="583" spans="1:4" x14ac:dyDescent="0.3">
      <c r="A583" s="1" t="s">
        <v>295</v>
      </c>
      <c r="B583" s="3">
        <v>1</v>
      </c>
      <c r="C583" s="3">
        <v>2.0666666666666669</v>
      </c>
      <c r="D583" s="1" t="str">
        <f t="shared" si="9"/>
        <v>10 mildən çox sifarişə 30 faiz endirim</v>
      </c>
    </row>
    <row r="584" spans="1:4" x14ac:dyDescent="0.3">
      <c r="A584" s="1" t="s">
        <v>241</v>
      </c>
      <c r="B584" s="3">
        <v>1.5</v>
      </c>
      <c r="C584" s="3">
        <v>13</v>
      </c>
      <c r="D584" s="1" t="str">
        <f t="shared" si="9"/>
        <v>tətbiq edilmir</v>
      </c>
    </row>
    <row r="585" spans="1:4" x14ac:dyDescent="0.3">
      <c r="A585" s="1" t="s">
        <v>749</v>
      </c>
      <c r="B585" s="3">
        <v>1.25</v>
      </c>
      <c r="C585" s="3">
        <v>5.9</v>
      </c>
      <c r="D585" s="1" t="str">
        <f t="shared" si="9"/>
        <v>10 mildən çox sifarişə 30 faiz endirim</v>
      </c>
    </row>
    <row r="586" spans="1:4" x14ac:dyDescent="0.3">
      <c r="A586" s="1" t="s">
        <v>356</v>
      </c>
      <c r="B586" s="3">
        <v>1.5</v>
      </c>
      <c r="C586" s="3">
        <v>2.4666666666666668</v>
      </c>
      <c r="D586" s="1" t="str">
        <f t="shared" si="9"/>
        <v>10 mildən çox sifarişə 30 faiz endirim</v>
      </c>
    </row>
    <row r="587" spans="1:4" x14ac:dyDescent="0.3">
      <c r="A587" s="1" t="s">
        <v>728</v>
      </c>
      <c r="B587" s="3">
        <v>1.1666666666666667</v>
      </c>
      <c r="C587" s="3">
        <v>4.55</v>
      </c>
      <c r="D587" s="1" t="str">
        <f t="shared" si="9"/>
        <v>10 mildən çox sifarişə 30 faiz endirim</v>
      </c>
    </row>
    <row r="588" spans="1:4" x14ac:dyDescent="0.3">
      <c r="A588" s="1" t="s">
        <v>800</v>
      </c>
      <c r="B588" s="3">
        <v>1</v>
      </c>
      <c r="C588" s="3">
        <v>1.4</v>
      </c>
      <c r="D588" s="1" t="str">
        <f t="shared" si="9"/>
        <v>10 mildən çox sifarişə 30 faiz endirim</v>
      </c>
    </row>
    <row r="589" spans="1:4" x14ac:dyDescent="0.3">
      <c r="A589" s="1" t="s">
        <v>603</v>
      </c>
      <c r="B589" s="3">
        <v>1</v>
      </c>
      <c r="C589" s="3">
        <v>5.9666666666666677</v>
      </c>
      <c r="D589" s="1" t="str">
        <f t="shared" si="9"/>
        <v>10 mildən çox sifarişə 30 faiz endirim</v>
      </c>
    </row>
    <row r="590" spans="1:4" x14ac:dyDescent="0.3">
      <c r="A590" s="1" t="s">
        <v>846</v>
      </c>
      <c r="B590" s="3">
        <v>1.4</v>
      </c>
      <c r="C590" s="3">
        <v>2.96</v>
      </c>
      <c r="D590" s="1" t="str">
        <f t="shared" si="9"/>
        <v>10 mildən çox sifarişə 30 faiz endirim</v>
      </c>
    </row>
    <row r="591" spans="1:4" x14ac:dyDescent="0.3">
      <c r="A591" s="1" t="s">
        <v>499</v>
      </c>
      <c r="B591" s="3">
        <v>1.5</v>
      </c>
      <c r="C591" s="3">
        <v>9.8500000000000014</v>
      </c>
      <c r="D591" s="1" t="str">
        <f t="shared" si="9"/>
        <v>tətbiq edilmir</v>
      </c>
    </row>
    <row r="592" spans="1:4" x14ac:dyDescent="0.3">
      <c r="A592" s="1" t="s">
        <v>902</v>
      </c>
      <c r="B592" s="3">
        <v>1.3333333333333333</v>
      </c>
      <c r="C592" s="3">
        <v>8.2333333333333325</v>
      </c>
      <c r="D592" s="1" t="str">
        <f t="shared" si="9"/>
        <v>tətbiq edilmir</v>
      </c>
    </row>
    <row r="593" spans="1:4" x14ac:dyDescent="0.3">
      <c r="A593" s="1" t="s">
        <v>867</v>
      </c>
      <c r="B593" s="3">
        <v>1</v>
      </c>
      <c r="C593" s="3">
        <v>3.1</v>
      </c>
      <c r="D593" s="1" t="str">
        <f t="shared" si="9"/>
        <v>10 mildən çox sifarişə 30 faiz endirim</v>
      </c>
    </row>
    <row r="594" spans="1:4" x14ac:dyDescent="0.3">
      <c r="A594" s="1" t="s">
        <v>528</v>
      </c>
      <c r="B594" s="3">
        <v>1.3333333333333333</v>
      </c>
      <c r="C594" s="3">
        <v>4.8</v>
      </c>
      <c r="D594" s="1" t="str">
        <f t="shared" si="9"/>
        <v>10 mildən çox sifarişə 30 faiz endirim</v>
      </c>
    </row>
    <row r="595" spans="1:4" x14ac:dyDescent="0.3">
      <c r="A595" s="1" t="s">
        <v>172</v>
      </c>
      <c r="B595" s="3">
        <v>1.2</v>
      </c>
      <c r="C595" s="3">
        <v>5.9</v>
      </c>
      <c r="D595" s="1" t="str">
        <f t="shared" si="9"/>
        <v>10 mildən çox sifarişə 30 faiz endirim</v>
      </c>
    </row>
    <row r="596" spans="1:4" x14ac:dyDescent="0.3">
      <c r="A596" s="1" t="s">
        <v>858</v>
      </c>
      <c r="B596" s="3">
        <v>1</v>
      </c>
      <c r="C596" s="3">
        <v>2.1</v>
      </c>
      <c r="D596" s="1" t="str">
        <f t="shared" si="9"/>
        <v>10 mildən çox sifarişə 30 faiz endirim</v>
      </c>
    </row>
    <row r="597" spans="1:4" x14ac:dyDescent="0.3">
      <c r="A597" s="1" t="s">
        <v>859</v>
      </c>
      <c r="B597" s="3">
        <v>1.3333333333333333</v>
      </c>
      <c r="C597" s="3">
        <v>1.5</v>
      </c>
      <c r="D597" s="1" t="str">
        <f t="shared" si="9"/>
        <v>10 mildən çox sifarişə 30 faiz endirim</v>
      </c>
    </row>
    <row r="598" spans="1:4" x14ac:dyDescent="0.3">
      <c r="A598" s="1" t="s">
        <v>500</v>
      </c>
      <c r="B598" s="3">
        <v>2</v>
      </c>
      <c r="C598" s="3">
        <v>11.049999999999999</v>
      </c>
      <c r="D598" s="1" t="str">
        <f t="shared" si="9"/>
        <v>10 mildən çox sifarişə 20 faiz endirim</v>
      </c>
    </row>
    <row r="599" spans="1:4" x14ac:dyDescent="0.3">
      <c r="A599" s="1" t="s">
        <v>874</v>
      </c>
      <c r="B599" s="3">
        <v>1</v>
      </c>
      <c r="C599" s="3">
        <v>5.18</v>
      </c>
      <c r="D599" s="1" t="str">
        <f t="shared" si="9"/>
        <v>10 mildən çox sifarişə 30 faiz endirim</v>
      </c>
    </row>
    <row r="600" spans="1:4" x14ac:dyDescent="0.3">
      <c r="A600" s="1" t="s">
        <v>357</v>
      </c>
      <c r="B600" s="3">
        <v>1.5</v>
      </c>
      <c r="C600" s="3">
        <v>8.85</v>
      </c>
      <c r="D600" s="1" t="str">
        <f t="shared" si="9"/>
        <v>tətbiq edilmir</v>
      </c>
    </row>
    <row r="601" spans="1:4" x14ac:dyDescent="0.3">
      <c r="A601" s="1" t="s">
        <v>296</v>
      </c>
      <c r="B601" s="3">
        <v>2</v>
      </c>
      <c r="C601" s="3">
        <v>9.9500000000000011</v>
      </c>
      <c r="D601" s="1" t="str">
        <f t="shared" si="9"/>
        <v>10 mildən çox sifarişə 20 faiz endirim</v>
      </c>
    </row>
    <row r="602" spans="1:4" x14ac:dyDescent="0.3">
      <c r="A602" s="1" t="s">
        <v>297</v>
      </c>
      <c r="B602" s="3">
        <v>1.2</v>
      </c>
      <c r="C602" s="3">
        <v>5.54</v>
      </c>
      <c r="D602" s="1" t="str">
        <f t="shared" si="9"/>
        <v>10 mildən çox sifarişə 30 faiz endirim</v>
      </c>
    </row>
    <row r="603" spans="1:4" x14ac:dyDescent="0.3">
      <c r="A603" s="1" t="s">
        <v>173</v>
      </c>
      <c r="B603" s="3">
        <v>1</v>
      </c>
      <c r="C603" s="3">
        <v>2.125</v>
      </c>
      <c r="D603" s="1" t="str">
        <f t="shared" si="9"/>
        <v>10 mildən çox sifarişə 30 faiz endirim</v>
      </c>
    </row>
    <row r="604" spans="1:4" x14ac:dyDescent="0.3">
      <c r="A604" s="1" t="s">
        <v>95</v>
      </c>
      <c r="B604" s="3">
        <v>2</v>
      </c>
      <c r="C604" s="3">
        <v>8.1666666666666679</v>
      </c>
      <c r="D604" s="1" t="str">
        <f t="shared" si="9"/>
        <v>10 mildən çox sifarişə 20 faiz endirim</v>
      </c>
    </row>
    <row r="605" spans="1:4" x14ac:dyDescent="0.3">
      <c r="A605" s="1" t="s">
        <v>817</v>
      </c>
      <c r="B605" s="3">
        <v>2</v>
      </c>
      <c r="C605" s="3">
        <v>8.0499999999999989</v>
      </c>
      <c r="D605" s="1" t="str">
        <f t="shared" si="9"/>
        <v>10 mildən çox sifarişə 20 faiz endirim</v>
      </c>
    </row>
    <row r="606" spans="1:4" x14ac:dyDescent="0.3">
      <c r="A606" s="1" t="s">
        <v>787</v>
      </c>
      <c r="B606" s="3">
        <v>1</v>
      </c>
      <c r="C606" s="3">
        <v>1.3</v>
      </c>
      <c r="D606" s="1" t="str">
        <f t="shared" si="9"/>
        <v>10 mildən çox sifarişə 30 faiz endirim</v>
      </c>
    </row>
    <row r="607" spans="1:4" x14ac:dyDescent="0.3">
      <c r="A607" s="1" t="s">
        <v>174</v>
      </c>
      <c r="B607" s="3">
        <v>1.25</v>
      </c>
      <c r="C607" s="3">
        <v>2.4</v>
      </c>
      <c r="D607" s="1" t="str">
        <f t="shared" si="9"/>
        <v>10 mildən çox sifarişə 30 faiz endirim</v>
      </c>
    </row>
    <row r="608" spans="1:4" x14ac:dyDescent="0.3">
      <c r="A608" s="1" t="s">
        <v>462</v>
      </c>
      <c r="B608" s="3">
        <v>1.3333333333333333</v>
      </c>
      <c r="C608" s="3">
        <v>8.8666666666666654</v>
      </c>
      <c r="D608" s="1" t="str">
        <f t="shared" si="9"/>
        <v>tətbiq edilmir</v>
      </c>
    </row>
    <row r="609" spans="1:4" x14ac:dyDescent="0.3">
      <c r="A609" s="1" t="s">
        <v>175</v>
      </c>
      <c r="B609" s="3">
        <v>1.5</v>
      </c>
      <c r="C609" s="3">
        <v>5</v>
      </c>
      <c r="D609" s="1" t="str">
        <f t="shared" si="9"/>
        <v>10 mildən çox sifarişə 30 faiz endirim</v>
      </c>
    </row>
    <row r="610" spans="1:4" x14ac:dyDescent="0.3">
      <c r="A610" s="1" t="s">
        <v>801</v>
      </c>
      <c r="B610" s="3">
        <v>1.25</v>
      </c>
      <c r="C610" s="3">
        <v>2.125</v>
      </c>
      <c r="D610" s="1" t="str">
        <f t="shared" si="9"/>
        <v>10 mildən çox sifarişə 30 faiz endirim</v>
      </c>
    </row>
    <row r="611" spans="1:4" x14ac:dyDescent="0.3">
      <c r="A611" s="1" t="s">
        <v>693</v>
      </c>
      <c r="B611" s="3">
        <v>1.5</v>
      </c>
      <c r="C611" s="3">
        <v>2.25</v>
      </c>
      <c r="D611" s="1" t="str">
        <f t="shared" si="9"/>
        <v>10 mildən çox sifarişə 30 faiz endirim</v>
      </c>
    </row>
    <row r="612" spans="1:4" x14ac:dyDescent="0.3">
      <c r="A612" s="1" t="s">
        <v>501</v>
      </c>
      <c r="B612" s="3">
        <v>2</v>
      </c>
      <c r="C612" s="3">
        <v>14.3</v>
      </c>
      <c r="D612" s="1" t="str">
        <f t="shared" si="9"/>
        <v>10 mildən çox sifarişə 20 faiz endirim</v>
      </c>
    </row>
    <row r="613" spans="1:4" x14ac:dyDescent="0.3">
      <c r="A613" s="1" t="s">
        <v>298</v>
      </c>
      <c r="B613" s="3">
        <v>1.5</v>
      </c>
      <c r="C613" s="3">
        <v>3.5999999999999996</v>
      </c>
      <c r="D613" s="1" t="str">
        <f t="shared" si="9"/>
        <v>10 mildən çox sifarişə 30 faiz endirim</v>
      </c>
    </row>
    <row r="614" spans="1:4" x14ac:dyDescent="0.3">
      <c r="A614" s="1" t="s">
        <v>925</v>
      </c>
      <c r="B614" s="3">
        <v>1</v>
      </c>
      <c r="C614" s="3">
        <v>1.55</v>
      </c>
      <c r="D614" s="1" t="str">
        <f t="shared" si="9"/>
        <v>10 mildən çox sifarişə 30 faiz endirim</v>
      </c>
    </row>
    <row r="615" spans="1:4" x14ac:dyDescent="0.3">
      <c r="A615" s="1" t="s">
        <v>176</v>
      </c>
      <c r="B615" s="3">
        <v>1.8</v>
      </c>
      <c r="C615" s="3">
        <v>6.3199999999999994</v>
      </c>
      <c r="D615" s="1" t="str">
        <f t="shared" si="9"/>
        <v>10 mildən çox sifarişə 20 faiz endirim</v>
      </c>
    </row>
    <row r="616" spans="1:4" x14ac:dyDescent="0.3">
      <c r="A616" s="1" t="s">
        <v>299</v>
      </c>
      <c r="B616" s="3">
        <v>2.3333333333333335</v>
      </c>
      <c r="C616" s="3">
        <v>5</v>
      </c>
      <c r="D616" s="1" t="str">
        <f t="shared" si="9"/>
        <v>10 mildən çox sifarişə 20 faiz endirim</v>
      </c>
    </row>
    <row r="617" spans="1:4" x14ac:dyDescent="0.3">
      <c r="A617" s="1" t="s">
        <v>358</v>
      </c>
      <c r="B617" s="3">
        <v>1.75</v>
      </c>
      <c r="C617" s="3">
        <v>6</v>
      </c>
      <c r="D617" s="1" t="str">
        <f t="shared" si="9"/>
        <v>10 mildən çox sifarişə 20 faiz endirim</v>
      </c>
    </row>
    <row r="618" spans="1:4" x14ac:dyDescent="0.3">
      <c r="A618" s="1" t="s">
        <v>875</v>
      </c>
      <c r="B618" s="3">
        <v>1.5</v>
      </c>
      <c r="C618" s="3">
        <v>4.3999999999999995</v>
      </c>
      <c r="D618" s="1" t="str">
        <f t="shared" si="9"/>
        <v>10 mildən çox sifarişə 30 faiz endirim</v>
      </c>
    </row>
    <row r="619" spans="1:4" x14ac:dyDescent="0.3">
      <c r="A619" s="1" t="s">
        <v>604</v>
      </c>
      <c r="B619" s="3">
        <v>2</v>
      </c>
      <c r="C619" s="3">
        <v>10.566666666666668</v>
      </c>
      <c r="D619" s="1" t="str">
        <f t="shared" si="9"/>
        <v>10 mildən çox sifarişə 20 faiz endirim</v>
      </c>
    </row>
    <row r="620" spans="1:4" x14ac:dyDescent="0.3">
      <c r="A620" s="1" t="s">
        <v>868</v>
      </c>
      <c r="B620" s="3">
        <v>1.25</v>
      </c>
      <c r="C620" s="3">
        <v>12.8</v>
      </c>
      <c r="D620" s="1" t="str">
        <f t="shared" si="9"/>
        <v>tətbiq edilmir</v>
      </c>
    </row>
    <row r="621" spans="1:4" x14ac:dyDescent="0.3">
      <c r="A621" s="1" t="s">
        <v>643</v>
      </c>
      <c r="B621" s="3">
        <v>1</v>
      </c>
      <c r="C621" s="3">
        <v>3.75</v>
      </c>
      <c r="D621" s="1" t="str">
        <f t="shared" si="9"/>
        <v>10 mildən çox sifarişə 30 faiz endirim</v>
      </c>
    </row>
    <row r="622" spans="1:4" x14ac:dyDescent="0.3">
      <c r="A622" s="1" t="s">
        <v>300</v>
      </c>
      <c r="B622" s="3">
        <v>1.5</v>
      </c>
      <c r="C622" s="3">
        <v>6.8250000000000002</v>
      </c>
      <c r="D622" s="1" t="str">
        <f t="shared" si="9"/>
        <v>10 mildən çox sifarişə 30 faiz endirim</v>
      </c>
    </row>
    <row r="623" spans="1:4" x14ac:dyDescent="0.3">
      <c r="A623" s="1" t="s">
        <v>177</v>
      </c>
      <c r="B623" s="3">
        <v>2</v>
      </c>
      <c r="C623" s="3">
        <v>8.9499999999999993</v>
      </c>
      <c r="D623" s="1" t="str">
        <f t="shared" si="9"/>
        <v>10 mildən çox sifarişə 20 faiz endirim</v>
      </c>
    </row>
    <row r="624" spans="1:4" x14ac:dyDescent="0.3">
      <c r="A624" s="1" t="s">
        <v>412</v>
      </c>
      <c r="B624" s="3">
        <v>1.25</v>
      </c>
      <c r="C624" s="3">
        <v>1.7250000000000001</v>
      </c>
      <c r="D624" s="1" t="str">
        <f t="shared" si="9"/>
        <v>10 mildən çox sifarişə 30 faiz endirim</v>
      </c>
    </row>
    <row r="625" spans="1:4" x14ac:dyDescent="0.3">
      <c r="A625" s="1" t="s">
        <v>463</v>
      </c>
      <c r="B625" s="3">
        <v>1</v>
      </c>
      <c r="C625" s="3">
        <v>4.8999999999999995</v>
      </c>
      <c r="D625" s="1" t="str">
        <f t="shared" si="9"/>
        <v>10 mildən çox sifarişə 30 faiz endirim</v>
      </c>
    </row>
    <row r="626" spans="1:4" x14ac:dyDescent="0.3">
      <c r="A626" s="1" t="s">
        <v>178</v>
      </c>
      <c r="B626" s="3">
        <v>1.5</v>
      </c>
      <c r="C626" s="3">
        <v>2.15</v>
      </c>
      <c r="D626" s="1" t="str">
        <f t="shared" si="9"/>
        <v>10 mildən çox sifarişə 30 faiz endirim</v>
      </c>
    </row>
    <row r="627" spans="1:4" x14ac:dyDescent="0.3">
      <c r="A627" s="1" t="s">
        <v>96</v>
      </c>
      <c r="B627" s="3">
        <v>1.4</v>
      </c>
      <c r="C627" s="3">
        <v>6.0200000000000005</v>
      </c>
      <c r="D627" s="1" t="str">
        <f t="shared" si="9"/>
        <v>10 mildən çox sifarişə 30 faiz endirim</v>
      </c>
    </row>
    <row r="628" spans="1:4" x14ac:dyDescent="0.3">
      <c r="A628" s="1" t="s">
        <v>242</v>
      </c>
      <c r="B628" s="3">
        <v>1.2</v>
      </c>
      <c r="C628" s="3">
        <v>9.1</v>
      </c>
      <c r="D628" s="1" t="str">
        <f t="shared" si="9"/>
        <v>tətbiq edilmir</v>
      </c>
    </row>
    <row r="629" spans="1:4" x14ac:dyDescent="0.3">
      <c r="A629" s="1" t="s">
        <v>775</v>
      </c>
      <c r="B629" s="3">
        <v>1</v>
      </c>
      <c r="C629" s="3">
        <v>0.85</v>
      </c>
      <c r="D629" s="1" t="str">
        <f t="shared" si="9"/>
        <v>10 mildən çox sifarişə 30 faiz endirim</v>
      </c>
    </row>
    <row r="630" spans="1:4" x14ac:dyDescent="0.3">
      <c r="A630" s="1" t="s">
        <v>818</v>
      </c>
      <c r="B630" s="3">
        <v>1.3333333333333333</v>
      </c>
      <c r="C630" s="3">
        <v>4.8999999999999995</v>
      </c>
      <c r="D630" s="1" t="str">
        <f t="shared" si="9"/>
        <v>10 mildən çox sifarişə 30 faiz endirim</v>
      </c>
    </row>
    <row r="631" spans="1:4" x14ac:dyDescent="0.3">
      <c r="A631" s="1" t="s">
        <v>682</v>
      </c>
      <c r="B631" s="3">
        <v>1.4</v>
      </c>
      <c r="C631" s="3">
        <v>10.74</v>
      </c>
      <c r="D631" s="1" t="str">
        <f t="shared" si="9"/>
        <v>tətbiq edilmir</v>
      </c>
    </row>
    <row r="632" spans="1:4" x14ac:dyDescent="0.3">
      <c r="A632" s="1" t="s">
        <v>179</v>
      </c>
      <c r="B632" s="3">
        <v>1.5</v>
      </c>
      <c r="C632" s="3">
        <v>4.8250000000000002</v>
      </c>
      <c r="D632" s="1" t="str">
        <f t="shared" si="9"/>
        <v>10 mildən çox sifarişə 30 faiz endirim</v>
      </c>
    </row>
    <row r="633" spans="1:4" x14ac:dyDescent="0.3">
      <c r="A633" s="1" t="s">
        <v>819</v>
      </c>
      <c r="B633" s="3">
        <v>1.25</v>
      </c>
      <c r="C633" s="3">
        <v>3.4750000000000001</v>
      </c>
      <c r="D633" s="1" t="str">
        <f t="shared" si="9"/>
        <v>10 mildən çox sifarişə 30 faiz endirim</v>
      </c>
    </row>
    <row r="634" spans="1:4" x14ac:dyDescent="0.3">
      <c r="A634" s="1" t="s">
        <v>502</v>
      </c>
      <c r="B634" s="3">
        <v>1.3333333333333333</v>
      </c>
      <c r="C634" s="3">
        <v>3.9166666666666665</v>
      </c>
      <c r="D634" s="1" t="str">
        <f t="shared" si="9"/>
        <v>10 mildən çox sifarişə 30 faiz endirim</v>
      </c>
    </row>
    <row r="635" spans="1:4" x14ac:dyDescent="0.3">
      <c r="A635" s="1" t="s">
        <v>575</v>
      </c>
      <c r="B635" s="3">
        <v>1</v>
      </c>
      <c r="C635" s="3">
        <v>1.8333333333333333</v>
      </c>
      <c r="D635" s="1" t="str">
        <f t="shared" si="9"/>
        <v>10 mildən çox sifarişə 30 faiz endirim</v>
      </c>
    </row>
    <row r="636" spans="1:4" x14ac:dyDescent="0.3">
      <c r="A636" s="1" t="s">
        <v>413</v>
      </c>
      <c r="B636" s="3">
        <v>1.1428571428571428</v>
      </c>
      <c r="C636" s="3">
        <v>1.8142857142857143</v>
      </c>
      <c r="D636" s="1" t="str">
        <f t="shared" si="9"/>
        <v>10 mildən çox sifarişə 30 faiz endirim</v>
      </c>
    </row>
    <row r="637" spans="1:4" x14ac:dyDescent="0.3">
      <c r="A637" s="1" t="s">
        <v>464</v>
      </c>
      <c r="B637" s="3">
        <v>1.75</v>
      </c>
      <c r="C637" s="3">
        <v>4.25</v>
      </c>
      <c r="D637" s="1" t="str">
        <f t="shared" si="9"/>
        <v>10 mildən çox sifarişə 20 faiz endirim</v>
      </c>
    </row>
    <row r="638" spans="1:4" x14ac:dyDescent="0.3">
      <c r="A638" s="1" t="s">
        <v>97</v>
      </c>
      <c r="B638" s="3">
        <v>1.3333333333333333</v>
      </c>
      <c r="C638" s="3">
        <v>8.8000000000000007</v>
      </c>
      <c r="D638" s="1" t="str">
        <f t="shared" si="9"/>
        <v>tətbiq edilmir</v>
      </c>
    </row>
    <row r="639" spans="1:4" x14ac:dyDescent="0.3">
      <c r="A639" s="1" t="s">
        <v>605</v>
      </c>
      <c r="B639" s="3">
        <v>1.2</v>
      </c>
      <c r="C639" s="3">
        <v>4.92</v>
      </c>
      <c r="D639" s="1" t="str">
        <f t="shared" si="9"/>
        <v>10 mildən çox sifarişə 30 faiz endirim</v>
      </c>
    </row>
    <row r="640" spans="1:4" x14ac:dyDescent="0.3">
      <c r="A640" s="1" t="s">
        <v>503</v>
      </c>
      <c r="B640" s="3">
        <v>1.4</v>
      </c>
      <c r="C640" s="3">
        <v>4.8</v>
      </c>
      <c r="D640" s="1" t="str">
        <f t="shared" si="9"/>
        <v>10 mildən çox sifarişə 30 faiz endirim</v>
      </c>
    </row>
    <row r="641" spans="1:4" x14ac:dyDescent="0.3">
      <c r="A641" s="1" t="s">
        <v>98</v>
      </c>
      <c r="B641" s="3">
        <v>1</v>
      </c>
      <c r="C641" s="3">
        <v>5.7749999999999995</v>
      </c>
      <c r="D641" s="1" t="str">
        <f t="shared" si="9"/>
        <v>10 mildən çox sifarişə 30 faiz endirim</v>
      </c>
    </row>
    <row r="642" spans="1:4" x14ac:dyDescent="0.3">
      <c r="A642" s="1" t="s">
        <v>180</v>
      </c>
      <c r="B642" s="3">
        <v>2</v>
      </c>
      <c r="C642" s="3">
        <v>5.9750000000000005</v>
      </c>
      <c r="D642" s="1" t="str">
        <f t="shared" si="9"/>
        <v>10 mildən çox sifarişə 20 faiz endirim</v>
      </c>
    </row>
    <row r="643" spans="1:4" x14ac:dyDescent="0.3">
      <c r="A643" s="1" t="s">
        <v>576</v>
      </c>
      <c r="B643" s="3">
        <v>1</v>
      </c>
      <c r="C643" s="3">
        <v>5.3</v>
      </c>
      <c r="D643" s="1" t="str">
        <f t="shared" ref="D643:D706" si="10">IF( B643&lt;1, "gündəlik bir gedişə 30% endirim", IF(B643&gt;1.5, "10 mildən çox sifarişə 20 faiz endirim", IF(C643&lt;7, "10 mildən çox sifarişə 30 faiz endirim", "tətbiq edilmir") ))</f>
        <v>10 mildən çox sifarişə 30 faiz endirim</v>
      </c>
    </row>
    <row r="644" spans="1:4" x14ac:dyDescent="0.3">
      <c r="A644" s="1" t="s">
        <v>712</v>
      </c>
      <c r="B644" s="3">
        <v>1.5</v>
      </c>
      <c r="C644" s="3">
        <v>2.9999999999999996</v>
      </c>
      <c r="D644" s="1" t="str">
        <f t="shared" si="10"/>
        <v>10 mildən çox sifarişə 30 faiz endirim</v>
      </c>
    </row>
    <row r="645" spans="1:4" x14ac:dyDescent="0.3">
      <c r="A645" s="1" t="s">
        <v>243</v>
      </c>
      <c r="B645" s="3">
        <v>1</v>
      </c>
      <c r="C645" s="3">
        <v>4.7</v>
      </c>
      <c r="D645" s="1" t="str">
        <f t="shared" si="10"/>
        <v>10 mildən çox sifarişə 30 faiz endirim</v>
      </c>
    </row>
    <row r="646" spans="1:4" x14ac:dyDescent="0.3">
      <c r="A646" s="1" t="s">
        <v>606</v>
      </c>
      <c r="B646" s="3">
        <v>1.6666666666666667</v>
      </c>
      <c r="C646" s="3">
        <v>4.9666666666666668</v>
      </c>
      <c r="D646" s="1" t="str">
        <f t="shared" si="10"/>
        <v>10 mildən çox sifarişə 20 faiz endirim</v>
      </c>
    </row>
    <row r="647" spans="1:4" x14ac:dyDescent="0.3">
      <c r="A647" s="1" t="s">
        <v>359</v>
      </c>
      <c r="B647" s="3">
        <v>1.5</v>
      </c>
      <c r="C647" s="3">
        <v>7.2833333333333323</v>
      </c>
      <c r="D647" s="1" t="str">
        <f t="shared" si="10"/>
        <v>tətbiq edilmir</v>
      </c>
    </row>
    <row r="648" spans="1:4" x14ac:dyDescent="0.3">
      <c r="A648" s="1" t="s">
        <v>360</v>
      </c>
      <c r="B648" s="3">
        <v>1</v>
      </c>
      <c r="C648" s="3">
        <v>4.9000000000000004</v>
      </c>
      <c r="D648" s="1" t="str">
        <f t="shared" si="10"/>
        <v>10 mildən çox sifarişə 30 faiz endirim</v>
      </c>
    </row>
    <row r="649" spans="1:4" x14ac:dyDescent="0.3">
      <c r="A649" s="1" t="s">
        <v>361</v>
      </c>
      <c r="B649" s="3">
        <v>1.3333333333333333</v>
      </c>
      <c r="C649" s="3">
        <v>5.6333333333333329</v>
      </c>
      <c r="D649" s="1" t="str">
        <f t="shared" si="10"/>
        <v>10 mildən çox sifarişə 30 faiz endirim</v>
      </c>
    </row>
    <row r="650" spans="1:4" x14ac:dyDescent="0.3">
      <c r="A650" s="1" t="s">
        <v>869</v>
      </c>
      <c r="B650" s="3">
        <v>1.5</v>
      </c>
      <c r="C650" s="3">
        <v>4.05</v>
      </c>
      <c r="D650" s="1" t="str">
        <f t="shared" si="10"/>
        <v>10 mildən çox sifarişə 30 faiz endirim</v>
      </c>
    </row>
    <row r="651" spans="1:4" x14ac:dyDescent="0.3">
      <c r="A651" s="1" t="s">
        <v>577</v>
      </c>
      <c r="B651" s="3">
        <v>1.25</v>
      </c>
      <c r="C651" s="3">
        <v>5.2500000000000009</v>
      </c>
      <c r="D651" s="1" t="str">
        <f t="shared" si="10"/>
        <v>10 mildən çox sifarişə 30 faiz endirim</v>
      </c>
    </row>
    <row r="652" spans="1:4" x14ac:dyDescent="0.3">
      <c r="A652" s="1" t="s">
        <v>529</v>
      </c>
      <c r="B652" s="3">
        <v>1.3333333333333333</v>
      </c>
      <c r="C652" s="3">
        <v>5.5666666666666673</v>
      </c>
      <c r="D652" s="1" t="str">
        <f t="shared" si="10"/>
        <v>10 mildən çox sifarişə 30 faiz endirim</v>
      </c>
    </row>
    <row r="653" spans="1:4" x14ac:dyDescent="0.3">
      <c r="A653" s="1" t="s">
        <v>414</v>
      </c>
      <c r="B653" s="3">
        <v>3</v>
      </c>
      <c r="C653" s="3">
        <v>12.666666666666666</v>
      </c>
      <c r="D653" s="1" t="str">
        <f t="shared" si="10"/>
        <v>10 mildən çox sifarişə 20 faiz endirim</v>
      </c>
    </row>
    <row r="654" spans="1:4" x14ac:dyDescent="0.3">
      <c r="A654" s="1" t="s">
        <v>788</v>
      </c>
      <c r="B654" s="3">
        <v>1.4</v>
      </c>
      <c r="C654" s="3">
        <v>6.2800000000000011</v>
      </c>
      <c r="D654" s="1" t="str">
        <f t="shared" si="10"/>
        <v>10 mildən çox sifarişə 30 faiz endirim</v>
      </c>
    </row>
    <row r="655" spans="1:4" x14ac:dyDescent="0.3">
      <c r="A655" s="1" t="s">
        <v>301</v>
      </c>
      <c r="B655" s="3">
        <v>1</v>
      </c>
      <c r="C655" s="3">
        <v>3.0333333333333332</v>
      </c>
      <c r="D655" s="1" t="str">
        <f t="shared" si="10"/>
        <v>10 mildən çox sifarişə 30 faiz endirim</v>
      </c>
    </row>
    <row r="656" spans="1:4" x14ac:dyDescent="0.3">
      <c r="A656" s="1" t="s">
        <v>729</v>
      </c>
      <c r="B656" s="3">
        <v>3</v>
      </c>
      <c r="C656" s="3">
        <v>26.4</v>
      </c>
      <c r="D656" s="1" t="str">
        <f t="shared" si="10"/>
        <v>10 mildən çox sifarişə 20 faiz endirim</v>
      </c>
    </row>
    <row r="657" spans="1:4" x14ac:dyDescent="0.3">
      <c r="A657" s="1" t="s">
        <v>530</v>
      </c>
      <c r="B657" s="3">
        <v>2</v>
      </c>
      <c r="C657" s="3">
        <v>10.65</v>
      </c>
      <c r="D657" s="1" t="str">
        <f t="shared" si="10"/>
        <v>10 mildən çox sifarişə 20 faiz endirim</v>
      </c>
    </row>
    <row r="658" spans="1:4" x14ac:dyDescent="0.3">
      <c r="A658" s="1" t="s">
        <v>776</v>
      </c>
      <c r="B658" s="3">
        <v>1</v>
      </c>
      <c r="C658" s="3">
        <v>3.6</v>
      </c>
      <c r="D658" s="1" t="str">
        <f t="shared" si="10"/>
        <v>10 mildən çox sifarişə 30 faiz endirim</v>
      </c>
    </row>
    <row r="659" spans="1:4" x14ac:dyDescent="0.3">
      <c r="A659" s="1" t="s">
        <v>504</v>
      </c>
      <c r="B659" s="3">
        <v>1.6666666666666667</v>
      </c>
      <c r="C659" s="3">
        <v>6.9666666666666677</v>
      </c>
      <c r="D659" s="1" t="str">
        <f t="shared" si="10"/>
        <v>10 mildən çox sifarişə 20 faiz endirim</v>
      </c>
    </row>
    <row r="660" spans="1:4" x14ac:dyDescent="0.3">
      <c r="A660" s="1" t="s">
        <v>362</v>
      </c>
      <c r="B660" s="3">
        <v>1</v>
      </c>
      <c r="C660" s="3">
        <v>6.6000000000000005</v>
      </c>
      <c r="D660" s="1" t="str">
        <f t="shared" si="10"/>
        <v>10 mildən çox sifarişə 30 faiz endirim</v>
      </c>
    </row>
    <row r="661" spans="1:4" x14ac:dyDescent="0.3">
      <c r="A661" s="1" t="s">
        <v>531</v>
      </c>
      <c r="B661" s="3">
        <v>1.2</v>
      </c>
      <c r="C661" s="3">
        <v>6.76</v>
      </c>
      <c r="D661" s="1" t="str">
        <f t="shared" si="10"/>
        <v>10 mildən çox sifarişə 30 faiz endirim</v>
      </c>
    </row>
    <row r="662" spans="1:4" x14ac:dyDescent="0.3">
      <c r="A662" s="1" t="s">
        <v>181</v>
      </c>
      <c r="B662" s="3">
        <v>1</v>
      </c>
      <c r="C662" s="3">
        <v>2.8</v>
      </c>
      <c r="D662" s="1" t="str">
        <f t="shared" si="10"/>
        <v>10 mildən çox sifarişə 30 faiz endirim</v>
      </c>
    </row>
    <row r="663" spans="1:4" x14ac:dyDescent="0.3">
      <c r="A663" s="1" t="s">
        <v>885</v>
      </c>
      <c r="B663" s="3">
        <v>1.25</v>
      </c>
      <c r="C663" s="3">
        <v>1.9750000000000001</v>
      </c>
      <c r="D663" s="1" t="str">
        <f t="shared" si="10"/>
        <v>10 mildən çox sifarişə 30 faiz endirim</v>
      </c>
    </row>
    <row r="664" spans="1:4" x14ac:dyDescent="0.3">
      <c r="A664" s="1" t="s">
        <v>99</v>
      </c>
      <c r="B664" s="3">
        <v>1.6</v>
      </c>
      <c r="C664" s="3">
        <v>3.78</v>
      </c>
      <c r="D664" s="1" t="str">
        <f t="shared" si="10"/>
        <v>10 mildən çox sifarişə 20 faiz endirim</v>
      </c>
    </row>
    <row r="665" spans="1:4" x14ac:dyDescent="0.3">
      <c r="A665" s="1" t="s">
        <v>860</v>
      </c>
      <c r="B665" s="3">
        <v>1</v>
      </c>
      <c r="C665" s="3">
        <v>1.4</v>
      </c>
      <c r="D665" s="1" t="str">
        <f t="shared" si="10"/>
        <v>10 mildən çox sifarişə 30 faiz endirim</v>
      </c>
    </row>
    <row r="666" spans="1:4" x14ac:dyDescent="0.3">
      <c r="A666" s="1" t="s">
        <v>532</v>
      </c>
      <c r="B666" s="3">
        <v>1.5</v>
      </c>
      <c r="C666" s="3">
        <v>2.2000000000000002</v>
      </c>
      <c r="D666" s="1" t="str">
        <f t="shared" si="10"/>
        <v>10 mildən çox sifarişə 30 faiz endirim</v>
      </c>
    </row>
    <row r="667" spans="1:4" x14ac:dyDescent="0.3">
      <c r="A667" s="1" t="s">
        <v>750</v>
      </c>
      <c r="B667" s="3">
        <v>1.3333333333333333</v>
      </c>
      <c r="C667" s="3">
        <v>4.7666666666666666</v>
      </c>
      <c r="D667" s="1" t="str">
        <f t="shared" si="10"/>
        <v>10 mildən çox sifarişə 30 faiz endirim</v>
      </c>
    </row>
    <row r="668" spans="1:4" x14ac:dyDescent="0.3">
      <c r="A668" s="1" t="s">
        <v>751</v>
      </c>
      <c r="B668" s="3">
        <v>1.2</v>
      </c>
      <c r="C668" s="3">
        <v>6.82</v>
      </c>
      <c r="D668" s="1" t="str">
        <f t="shared" si="10"/>
        <v>10 mildən çox sifarişə 30 faiz endirim</v>
      </c>
    </row>
    <row r="669" spans="1:4" x14ac:dyDescent="0.3">
      <c r="A669" s="1" t="s">
        <v>886</v>
      </c>
      <c r="B669" s="3">
        <v>1</v>
      </c>
      <c r="C669" s="3">
        <v>7.15</v>
      </c>
      <c r="D669" s="1" t="str">
        <f t="shared" si="10"/>
        <v>tətbiq edilmir</v>
      </c>
    </row>
    <row r="670" spans="1:4" x14ac:dyDescent="0.3">
      <c r="A670" s="1" t="s">
        <v>302</v>
      </c>
      <c r="B670" s="3">
        <v>2</v>
      </c>
      <c r="C670" s="3">
        <v>8.0333333333333332</v>
      </c>
      <c r="D670" s="1" t="str">
        <f t="shared" si="10"/>
        <v>10 mildən çox sifarişə 20 faiz endirim</v>
      </c>
    </row>
    <row r="671" spans="1:4" x14ac:dyDescent="0.3">
      <c r="A671" s="1" t="s">
        <v>363</v>
      </c>
      <c r="B671" s="3">
        <v>2.2000000000000002</v>
      </c>
      <c r="C671" s="3">
        <v>13</v>
      </c>
      <c r="D671" s="1" t="str">
        <f t="shared" si="10"/>
        <v>10 mildən çox sifarişə 20 faiz endirim</v>
      </c>
    </row>
    <row r="672" spans="1:4" x14ac:dyDescent="0.3">
      <c r="A672" s="1" t="s">
        <v>861</v>
      </c>
      <c r="B672" s="3">
        <v>1.5</v>
      </c>
      <c r="C672" s="3">
        <v>3.7</v>
      </c>
      <c r="D672" s="1" t="str">
        <f t="shared" si="10"/>
        <v>10 mildən çox sifarişə 30 faiz endirim</v>
      </c>
    </row>
    <row r="673" spans="1:4" x14ac:dyDescent="0.3">
      <c r="A673" s="1" t="s">
        <v>465</v>
      </c>
      <c r="B673" s="3">
        <v>1</v>
      </c>
      <c r="C673" s="3">
        <v>5.9000000000000012</v>
      </c>
      <c r="D673" s="1" t="str">
        <f t="shared" si="10"/>
        <v>10 mildən çox sifarişə 30 faiz endirim</v>
      </c>
    </row>
    <row r="674" spans="1:4" x14ac:dyDescent="0.3">
      <c r="A674" s="1" t="s">
        <v>505</v>
      </c>
      <c r="B674" s="3">
        <v>1.1428571428571428</v>
      </c>
      <c r="C674" s="3">
        <v>3.528571428571428</v>
      </c>
      <c r="D674" s="1" t="str">
        <f t="shared" si="10"/>
        <v>10 mildən çox sifarişə 30 faiz endirim</v>
      </c>
    </row>
    <row r="675" spans="1:4" x14ac:dyDescent="0.3">
      <c r="A675" s="1" t="s">
        <v>364</v>
      </c>
      <c r="B675" s="3">
        <v>1</v>
      </c>
      <c r="C675" s="3">
        <v>3</v>
      </c>
      <c r="D675" s="1" t="str">
        <f t="shared" si="10"/>
        <v>10 mildən çox sifarişə 30 faiz endirim</v>
      </c>
    </row>
    <row r="676" spans="1:4" x14ac:dyDescent="0.3">
      <c r="A676" s="1" t="s">
        <v>713</v>
      </c>
      <c r="B676" s="3">
        <v>1.25</v>
      </c>
      <c r="C676" s="3">
        <v>3.8250000000000002</v>
      </c>
      <c r="D676" s="1" t="str">
        <f t="shared" si="10"/>
        <v>10 mildən çox sifarişə 30 faiz endirim</v>
      </c>
    </row>
    <row r="677" spans="1:4" x14ac:dyDescent="0.3">
      <c r="A677" s="1" t="s">
        <v>920</v>
      </c>
      <c r="B677" s="3">
        <v>2</v>
      </c>
      <c r="C677" s="3">
        <v>6.4</v>
      </c>
      <c r="D677" s="1" t="str">
        <f t="shared" si="10"/>
        <v>10 mildən çox sifarişə 20 faiz endirim</v>
      </c>
    </row>
    <row r="678" spans="1:4" x14ac:dyDescent="0.3">
      <c r="A678" s="1" t="s">
        <v>100</v>
      </c>
      <c r="B678" s="3">
        <v>1.3333333333333333</v>
      </c>
      <c r="C678" s="3">
        <v>4.8999999999999995</v>
      </c>
      <c r="D678" s="1" t="str">
        <f t="shared" si="10"/>
        <v>10 mildən çox sifarişə 30 faiz endirim</v>
      </c>
    </row>
    <row r="679" spans="1:4" x14ac:dyDescent="0.3">
      <c r="A679" s="1" t="s">
        <v>847</v>
      </c>
      <c r="B679" s="3">
        <v>1.25</v>
      </c>
      <c r="C679" s="3">
        <v>9.625</v>
      </c>
      <c r="D679" s="1" t="str">
        <f t="shared" si="10"/>
        <v>tətbiq edilmir</v>
      </c>
    </row>
    <row r="680" spans="1:4" x14ac:dyDescent="0.3">
      <c r="A680" s="1" t="s">
        <v>644</v>
      </c>
      <c r="B680" s="3">
        <v>1.2</v>
      </c>
      <c r="C680" s="3">
        <v>7</v>
      </c>
      <c r="D680" s="1" t="str">
        <f t="shared" si="10"/>
        <v>tətbiq edilmir</v>
      </c>
    </row>
    <row r="681" spans="1:4" x14ac:dyDescent="0.3">
      <c r="A681" s="1" t="s">
        <v>415</v>
      </c>
      <c r="B681" s="3">
        <v>1.75</v>
      </c>
      <c r="C681" s="3">
        <v>10.274999999999999</v>
      </c>
      <c r="D681" s="1" t="str">
        <f t="shared" si="10"/>
        <v>10 mildən çox sifarişə 20 faiz endirim</v>
      </c>
    </row>
    <row r="682" spans="1:4" x14ac:dyDescent="0.3">
      <c r="A682" s="1" t="s">
        <v>416</v>
      </c>
      <c r="B682" s="3">
        <v>1</v>
      </c>
      <c r="C682" s="3">
        <v>2.7250000000000001</v>
      </c>
      <c r="D682" s="1" t="str">
        <f t="shared" si="10"/>
        <v>10 mildən çox sifarişə 30 faiz endirim</v>
      </c>
    </row>
    <row r="683" spans="1:4" x14ac:dyDescent="0.3">
      <c r="A683" s="1" t="s">
        <v>182</v>
      </c>
      <c r="B683" s="3">
        <v>2.5</v>
      </c>
      <c r="C683" s="3">
        <v>17.600000000000001</v>
      </c>
      <c r="D683" s="1" t="str">
        <f t="shared" si="10"/>
        <v>10 mildən çox sifarişə 20 faiz endirim</v>
      </c>
    </row>
    <row r="684" spans="1:4" x14ac:dyDescent="0.3">
      <c r="A684" s="1" t="s">
        <v>365</v>
      </c>
      <c r="B684" s="3">
        <v>1.1666666666666667</v>
      </c>
      <c r="C684" s="3">
        <v>5.2</v>
      </c>
      <c r="D684" s="1" t="str">
        <f t="shared" si="10"/>
        <v>10 mildən çox sifarişə 30 faiz endirim</v>
      </c>
    </row>
    <row r="685" spans="1:4" x14ac:dyDescent="0.3">
      <c r="A685" s="1" t="s">
        <v>366</v>
      </c>
      <c r="B685" s="3">
        <v>1.6</v>
      </c>
      <c r="C685" s="3">
        <v>4.28</v>
      </c>
      <c r="D685" s="1" t="str">
        <f t="shared" si="10"/>
        <v>10 mildən çox sifarişə 20 faiz endirim</v>
      </c>
    </row>
    <row r="686" spans="1:4" x14ac:dyDescent="0.3">
      <c r="A686" s="1" t="s">
        <v>789</v>
      </c>
      <c r="B686" s="3">
        <v>1.3333333333333333</v>
      </c>
      <c r="C686" s="3">
        <v>1.7666666666666666</v>
      </c>
      <c r="D686" s="1" t="str">
        <f t="shared" si="10"/>
        <v>10 mildən çox sifarişə 30 faiz endirim</v>
      </c>
    </row>
    <row r="687" spans="1:4" x14ac:dyDescent="0.3">
      <c r="A687" s="1" t="s">
        <v>645</v>
      </c>
      <c r="B687" s="3">
        <v>2</v>
      </c>
      <c r="C687" s="3">
        <v>4.9333333333333327</v>
      </c>
      <c r="D687" s="1" t="str">
        <f t="shared" si="10"/>
        <v>10 mildən çox sifarişə 20 faiz endirim</v>
      </c>
    </row>
    <row r="688" spans="1:4" x14ac:dyDescent="0.3">
      <c r="A688" s="1" t="s">
        <v>101</v>
      </c>
      <c r="B688" s="3">
        <v>1</v>
      </c>
      <c r="C688" s="3">
        <v>2.9750000000000001</v>
      </c>
      <c r="D688" s="1" t="str">
        <f t="shared" si="10"/>
        <v>10 mildən çox sifarişə 30 faiz endirim</v>
      </c>
    </row>
    <row r="689" spans="1:4" x14ac:dyDescent="0.3">
      <c r="A689" s="1" t="s">
        <v>303</v>
      </c>
      <c r="B689" s="3">
        <v>2</v>
      </c>
      <c r="C689" s="3">
        <v>9.5333333333333332</v>
      </c>
      <c r="D689" s="1" t="str">
        <f t="shared" si="10"/>
        <v>10 mildən çox sifarişə 20 faiz endirim</v>
      </c>
    </row>
    <row r="690" spans="1:4" x14ac:dyDescent="0.3">
      <c r="A690" s="1" t="s">
        <v>790</v>
      </c>
      <c r="B690" s="3">
        <v>1</v>
      </c>
      <c r="C690" s="3">
        <v>3.5</v>
      </c>
      <c r="D690" s="1" t="str">
        <f t="shared" si="10"/>
        <v>10 mildən çox sifarişə 30 faiz endirim</v>
      </c>
    </row>
    <row r="691" spans="1:4" x14ac:dyDescent="0.3">
      <c r="A691" s="1" t="s">
        <v>730</v>
      </c>
      <c r="B691" s="3">
        <v>1</v>
      </c>
      <c r="C691" s="3">
        <v>3.6500000000000004</v>
      </c>
      <c r="D691" s="1" t="str">
        <f t="shared" si="10"/>
        <v>10 mildən çox sifarişə 30 faiz endirim</v>
      </c>
    </row>
    <row r="692" spans="1:4" x14ac:dyDescent="0.3">
      <c r="A692" s="1" t="s">
        <v>533</v>
      </c>
      <c r="B692" s="3">
        <v>2</v>
      </c>
      <c r="C692" s="3">
        <v>5.3</v>
      </c>
      <c r="D692" s="1" t="str">
        <f t="shared" si="10"/>
        <v>10 mildən çox sifarişə 20 faiz endirim</v>
      </c>
    </row>
    <row r="693" spans="1:4" x14ac:dyDescent="0.3">
      <c r="A693" s="1" t="s">
        <v>102</v>
      </c>
      <c r="B693" s="3">
        <v>1.25</v>
      </c>
      <c r="C693" s="3">
        <v>8.5250000000000004</v>
      </c>
      <c r="D693" s="1" t="str">
        <f t="shared" si="10"/>
        <v>tətbiq edilmir</v>
      </c>
    </row>
    <row r="694" spans="1:4" x14ac:dyDescent="0.3">
      <c r="A694" s="1" t="s">
        <v>694</v>
      </c>
      <c r="B694" s="3">
        <v>1.6666666666666667</v>
      </c>
      <c r="C694" s="3">
        <v>3.8666666666666658</v>
      </c>
      <c r="D694" s="1" t="str">
        <f t="shared" si="10"/>
        <v>10 mildən çox sifarişə 20 faiz endirim</v>
      </c>
    </row>
    <row r="695" spans="1:4" x14ac:dyDescent="0.3">
      <c r="A695" s="1" t="s">
        <v>646</v>
      </c>
      <c r="B695" s="3">
        <v>1.6</v>
      </c>
      <c r="C695" s="3">
        <v>8.2800000000000011</v>
      </c>
      <c r="D695" s="1" t="str">
        <f t="shared" si="10"/>
        <v>10 mildən çox sifarişə 20 faiz endirim</v>
      </c>
    </row>
    <row r="696" spans="1:4" x14ac:dyDescent="0.3">
      <c r="A696" s="1" t="s">
        <v>802</v>
      </c>
      <c r="B696" s="3">
        <v>1.5</v>
      </c>
      <c r="C696" s="3">
        <v>7.4749999999999996</v>
      </c>
      <c r="D696" s="1" t="str">
        <f t="shared" si="10"/>
        <v>tətbiq edilmir</v>
      </c>
    </row>
    <row r="697" spans="1:4" x14ac:dyDescent="0.3">
      <c r="A697" s="1" t="s">
        <v>903</v>
      </c>
      <c r="B697" s="3">
        <v>1</v>
      </c>
      <c r="C697" s="3">
        <v>0.85000000000000009</v>
      </c>
      <c r="D697" s="1" t="str">
        <f t="shared" si="10"/>
        <v>10 mildən çox sifarişə 30 faiz endirim</v>
      </c>
    </row>
    <row r="698" spans="1:4" x14ac:dyDescent="0.3">
      <c r="A698" s="1" t="s">
        <v>183</v>
      </c>
      <c r="B698" s="3">
        <v>1.5</v>
      </c>
      <c r="C698" s="3">
        <v>7.4749999999999996</v>
      </c>
      <c r="D698" s="1" t="str">
        <f t="shared" si="10"/>
        <v>tətbiq edilmir</v>
      </c>
    </row>
    <row r="699" spans="1:4" x14ac:dyDescent="0.3">
      <c r="A699" s="1" t="s">
        <v>904</v>
      </c>
      <c r="B699" s="3">
        <v>1</v>
      </c>
      <c r="C699" s="3">
        <v>13.9</v>
      </c>
      <c r="D699" s="1" t="str">
        <f t="shared" si="10"/>
        <v>tətbiq edilmir</v>
      </c>
    </row>
    <row r="700" spans="1:4" x14ac:dyDescent="0.3">
      <c r="A700" s="1" t="s">
        <v>304</v>
      </c>
      <c r="B700" s="3">
        <v>1.8</v>
      </c>
      <c r="C700" s="3">
        <v>2.76</v>
      </c>
      <c r="D700" s="1" t="str">
        <f t="shared" si="10"/>
        <v>10 mildən çox sifarişə 20 faiz endirim</v>
      </c>
    </row>
    <row r="701" spans="1:4" x14ac:dyDescent="0.3">
      <c r="A701" s="1" t="s">
        <v>305</v>
      </c>
      <c r="B701" s="3">
        <v>1.8</v>
      </c>
      <c r="C701" s="3">
        <v>3.94</v>
      </c>
      <c r="D701" s="1" t="str">
        <f t="shared" si="10"/>
        <v>10 mildən çox sifarişə 20 faiz endirim</v>
      </c>
    </row>
    <row r="702" spans="1:4" x14ac:dyDescent="0.3">
      <c r="A702" s="1" t="s">
        <v>367</v>
      </c>
      <c r="B702" s="3">
        <v>1</v>
      </c>
      <c r="C702" s="3">
        <v>2.7</v>
      </c>
      <c r="D702" s="1" t="str">
        <f t="shared" si="10"/>
        <v>10 mildən çox sifarişə 30 faiz endirim</v>
      </c>
    </row>
    <row r="703" spans="1:4" x14ac:dyDescent="0.3">
      <c r="A703" s="1" t="s">
        <v>893</v>
      </c>
      <c r="B703" s="3">
        <v>1.25</v>
      </c>
      <c r="C703" s="3">
        <v>4.5250000000000004</v>
      </c>
      <c r="D703" s="1" t="str">
        <f t="shared" si="10"/>
        <v>10 mildən çox sifarişə 30 faiz endirim</v>
      </c>
    </row>
    <row r="704" spans="1:4" x14ac:dyDescent="0.3">
      <c r="A704" s="1" t="s">
        <v>184</v>
      </c>
      <c r="B704" s="3">
        <v>1.5</v>
      </c>
      <c r="C704" s="3">
        <v>2.9</v>
      </c>
      <c r="D704" s="1" t="str">
        <f t="shared" si="10"/>
        <v>10 mildən çox sifarişə 30 faiz endirim</v>
      </c>
    </row>
    <row r="705" spans="1:4" x14ac:dyDescent="0.3">
      <c r="A705" s="1" t="s">
        <v>695</v>
      </c>
      <c r="B705" s="3">
        <v>1.6666666666666667</v>
      </c>
      <c r="C705" s="3">
        <v>3.8333333333333339</v>
      </c>
      <c r="D705" s="1" t="str">
        <f t="shared" si="10"/>
        <v>10 mildən çox sifarişə 20 faiz endirim</v>
      </c>
    </row>
    <row r="706" spans="1:4" x14ac:dyDescent="0.3">
      <c r="A706" s="1" t="s">
        <v>647</v>
      </c>
      <c r="B706" s="3">
        <v>1.75</v>
      </c>
      <c r="C706" s="3">
        <v>8.9499999999999993</v>
      </c>
      <c r="D706" s="1" t="str">
        <f t="shared" si="10"/>
        <v>10 mildən çox sifarişə 20 faiz endirim</v>
      </c>
    </row>
    <row r="707" spans="1:4" x14ac:dyDescent="0.3">
      <c r="A707" s="1" t="s">
        <v>848</v>
      </c>
      <c r="B707" s="3">
        <v>1</v>
      </c>
      <c r="C707" s="3">
        <v>1.8</v>
      </c>
      <c r="D707" s="1" t="str">
        <f t="shared" ref="D707:D770" si="11">IF( B707&lt;1, "gündəlik bir gedişə 30% endirim", IF(B707&gt;1.5, "10 mildən çox sifarişə 20 faiz endirim", IF(C707&lt;7, "10 mildən çox sifarişə 30 faiz endirim", "tətbiq edilmir") ))</f>
        <v>10 mildən çox sifarişə 30 faiz endirim</v>
      </c>
    </row>
    <row r="708" spans="1:4" x14ac:dyDescent="0.3">
      <c r="A708" s="1" t="s">
        <v>185</v>
      </c>
      <c r="B708" s="3">
        <v>1.5</v>
      </c>
      <c r="C708" s="3">
        <v>5.5250000000000004</v>
      </c>
      <c r="D708" s="1" t="str">
        <f t="shared" si="11"/>
        <v>10 mildən çox sifarişə 30 faiz endirim</v>
      </c>
    </row>
    <row r="709" spans="1:4" x14ac:dyDescent="0.3">
      <c r="A709" s="1" t="s">
        <v>803</v>
      </c>
      <c r="B709" s="3">
        <v>1.5</v>
      </c>
      <c r="C709" s="3">
        <v>2.8</v>
      </c>
      <c r="D709" s="1" t="str">
        <f t="shared" si="11"/>
        <v>10 mildən çox sifarişə 30 faiz endirim</v>
      </c>
    </row>
    <row r="710" spans="1:4" x14ac:dyDescent="0.3">
      <c r="A710" s="1" t="s">
        <v>368</v>
      </c>
      <c r="B710" s="3">
        <v>1.6</v>
      </c>
      <c r="C710" s="3">
        <v>8.4400000000000013</v>
      </c>
      <c r="D710" s="1" t="str">
        <f t="shared" si="11"/>
        <v>10 mildən çox sifarişə 20 faiz endirim</v>
      </c>
    </row>
    <row r="711" spans="1:4" x14ac:dyDescent="0.3">
      <c r="A711" s="1" t="s">
        <v>466</v>
      </c>
      <c r="B711" s="3">
        <v>1.6666666666666667</v>
      </c>
      <c r="C711" s="3">
        <v>11.700000000000001</v>
      </c>
      <c r="D711" s="1" t="str">
        <f t="shared" si="11"/>
        <v>10 mildən çox sifarişə 20 faiz endirim</v>
      </c>
    </row>
    <row r="712" spans="1:4" x14ac:dyDescent="0.3">
      <c r="A712" s="1" t="s">
        <v>306</v>
      </c>
      <c r="B712" s="3">
        <v>1.5</v>
      </c>
      <c r="C712" s="3">
        <v>5.125</v>
      </c>
      <c r="D712" s="1" t="str">
        <f t="shared" si="11"/>
        <v>10 mildən çox sifarişə 30 faiz endirim</v>
      </c>
    </row>
    <row r="713" spans="1:4" x14ac:dyDescent="0.3">
      <c r="A713" s="1" t="s">
        <v>244</v>
      </c>
      <c r="B713" s="3">
        <v>1.3333333333333333</v>
      </c>
      <c r="C713" s="3">
        <v>4.833333333333333</v>
      </c>
      <c r="D713" s="1" t="str">
        <f t="shared" si="11"/>
        <v>10 mildən çox sifarişə 30 faiz endirim</v>
      </c>
    </row>
    <row r="714" spans="1:4" x14ac:dyDescent="0.3">
      <c r="A714" s="1" t="s">
        <v>103</v>
      </c>
      <c r="B714" s="3">
        <v>1.4</v>
      </c>
      <c r="C714" s="3">
        <v>6.58</v>
      </c>
      <c r="D714" s="1" t="str">
        <f t="shared" si="11"/>
        <v>10 mildən çox sifarişə 30 faiz endirim</v>
      </c>
    </row>
    <row r="715" spans="1:4" x14ac:dyDescent="0.3">
      <c r="A715" s="1" t="s">
        <v>578</v>
      </c>
      <c r="B715" s="3">
        <v>1.25</v>
      </c>
      <c r="C715" s="3">
        <v>4.0500000000000007</v>
      </c>
      <c r="D715" s="1" t="str">
        <f t="shared" si="11"/>
        <v>10 mildən çox sifarişə 30 faiz endirim</v>
      </c>
    </row>
    <row r="716" spans="1:4" x14ac:dyDescent="0.3">
      <c r="A716" s="1" t="s">
        <v>579</v>
      </c>
      <c r="B716" s="3">
        <v>1.3333333333333333</v>
      </c>
      <c r="C716" s="3">
        <v>5.6166666666666671</v>
      </c>
      <c r="D716" s="1" t="str">
        <f t="shared" si="11"/>
        <v>10 mildən çox sifarişə 30 faiz endirim</v>
      </c>
    </row>
    <row r="717" spans="1:4" x14ac:dyDescent="0.3">
      <c r="A717" s="1" t="s">
        <v>731</v>
      </c>
      <c r="B717" s="3">
        <v>1</v>
      </c>
      <c r="C717" s="3">
        <v>4.0200000000000005</v>
      </c>
      <c r="D717" s="1" t="str">
        <f t="shared" si="11"/>
        <v>10 mildən çox sifarişə 30 faiz endirim</v>
      </c>
    </row>
    <row r="718" spans="1:4" x14ac:dyDescent="0.3">
      <c r="A718" s="1" t="s">
        <v>683</v>
      </c>
      <c r="B718" s="3">
        <v>1.25</v>
      </c>
      <c r="C718" s="3">
        <v>3.7</v>
      </c>
      <c r="D718" s="1" t="str">
        <f t="shared" si="11"/>
        <v>10 mildən çox sifarişə 30 faiz endirim</v>
      </c>
    </row>
    <row r="719" spans="1:4" x14ac:dyDescent="0.3">
      <c r="A719" s="1" t="s">
        <v>245</v>
      </c>
      <c r="B719" s="3">
        <v>1.25</v>
      </c>
      <c r="C719" s="3">
        <v>3.7749999999999999</v>
      </c>
      <c r="D719" s="1" t="str">
        <f t="shared" si="11"/>
        <v>10 mildən çox sifarişə 30 faiz endirim</v>
      </c>
    </row>
    <row r="720" spans="1:4" x14ac:dyDescent="0.3">
      <c r="A720" s="1" t="s">
        <v>922</v>
      </c>
      <c r="B720" s="3">
        <v>1</v>
      </c>
      <c r="C720" s="3">
        <v>2.5499999999999998</v>
      </c>
      <c r="D720" s="1" t="str">
        <f t="shared" si="11"/>
        <v>10 mildən çox sifarişə 30 faiz endirim</v>
      </c>
    </row>
    <row r="721" spans="1:4" x14ac:dyDescent="0.3">
      <c r="A721" s="1" t="s">
        <v>580</v>
      </c>
      <c r="B721" s="3">
        <v>1.5</v>
      </c>
      <c r="C721" s="3">
        <v>6.0333333333333341</v>
      </c>
      <c r="D721" s="1" t="str">
        <f t="shared" si="11"/>
        <v>10 mildən çox sifarişə 30 faiz endirim</v>
      </c>
    </row>
    <row r="722" spans="1:4" x14ac:dyDescent="0.3">
      <c r="A722" s="1" t="s">
        <v>714</v>
      </c>
      <c r="B722" s="3">
        <v>1.5</v>
      </c>
      <c r="C722" s="3">
        <v>1.5499999999999998</v>
      </c>
      <c r="D722" s="1" t="str">
        <f t="shared" si="11"/>
        <v>10 mildən çox sifarişə 30 faiz endirim</v>
      </c>
    </row>
    <row r="723" spans="1:4" x14ac:dyDescent="0.3">
      <c r="A723" s="1" t="s">
        <v>186</v>
      </c>
      <c r="B723" s="3">
        <v>2.2000000000000002</v>
      </c>
      <c r="C723" s="3">
        <v>9.34</v>
      </c>
      <c r="D723" s="1" t="str">
        <f t="shared" si="11"/>
        <v>10 mildən çox sifarişə 20 faiz endirim</v>
      </c>
    </row>
    <row r="724" spans="1:4" x14ac:dyDescent="0.3">
      <c r="A724" s="1" t="s">
        <v>307</v>
      </c>
      <c r="B724" s="3">
        <v>1.4</v>
      </c>
      <c r="C724" s="3">
        <v>5.26</v>
      </c>
      <c r="D724" s="1" t="str">
        <f t="shared" si="11"/>
        <v>10 mildən çox sifarişə 30 faiz endirim</v>
      </c>
    </row>
    <row r="725" spans="1:4" x14ac:dyDescent="0.3">
      <c r="A725" s="1" t="s">
        <v>417</v>
      </c>
      <c r="B725" s="3">
        <v>2</v>
      </c>
      <c r="C725" s="3">
        <v>11.299999999999999</v>
      </c>
      <c r="D725" s="1" t="str">
        <f t="shared" si="11"/>
        <v>10 mildən çox sifarişə 20 faiz endirim</v>
      </c>
    </row>
    <row r="726" spans="1:4" x14ac:dyDescent="0.3">
      <c r="A726" s="1" t="s">
        <v>581</v>
      </c>
      <c r="B726" s="3">
        <v>1.1666666666666667</v>
      </c>
      <c r="C726" s="3">
        <v>6.1166666666666671</v>
      </c>
      <c r="D726" s="1" t="str">
        <f t="shared" si="11"/>
        <v>10 mildən çox sifarişə 30 faiz endirim</v>
      </c>
    </row>
    <row r="727" spans="1:4" x14ac:dyDescent="0.3">
      <c r="A727" s="1" t="s">
        <v>187</v>
      </c>
      <c r="B727" s="3">
        <v>1.6666666666666667</v>
      </c>
      <c r="C727" s="3">
        <v>7.6333333333333329</v>
      </c>
      <c r="D727" s="1" t="str">
        <f t="shared" si="11"/>
        <v>10 mildən çox sifarişə 20 faiz endirim</v>
      </c>
    </row>
    <row r="728" spans="1:4" x14ac:dyDescent="0.3">
      <c r="A728" s="1" t="s">
        <v>369</v>
      </c>
      <c r="B728" s="3">
        <v>2</v>
      </c>
      <c r="C728" s="3">
        <v>8.7333333333333325</v>
      </c>
      <c r="D728" s="1" t="str">
        <f t="shared" si="11"/>
        <v>10 mildən çox sifarişə 20 faiz endirim</v>
      </c>
    </row>
    <row r="729" spans="1:4" x14ac:dyDescent="0.3">
      <c r="A729" s="1" t="s">
        <v>696</v>
      </c>
      <c r="B729" s="3">
        <v>1</v>
      </c>
      <c r="C729" s="3">
        <v>0.9</v>
      </c>
      <c r="D729" s="1" t="str">
        <f t="shared" si="11"/>
        <v>10 mildən çox sifarişə 30 faiz endirim</v>
      </c>
    </row>
    <row r="730" spans="1:4" x14ac:dyDescent="0.3">
      <c r="A730" s="1" t="s">
        <v>732</v>
      </c>
      <c r="B730" s="3">
        <v>1.6666666666666667</v>
      </c>
      <c r="C730" s="3">
        <v>3.4</v>
      </c>
      <c r="D730" s="1" t="str">
        <f t="shared" si="11"/>
        <v>10 mildən çox sifarişə 20 faiz endirim</v>
      </c>
    </row>
    <row r="731" spans="1:4" x14ac:dyDescent="0.3">
      <c r="A731" s="1" t="s">
        <v>246</v>
      </c>
      <c r="B731" s="3">
        <v>1.6666666666666667</v>
      </c>
      <c r="C731" s="3">
        <v>5.3666666666666671</v>
      </c>
      <c r="D731" s="1" t="str">
        <f t="shared" si="11"/>
        <v>10 mildən çox sifarişə 20 faiz endirim</v>
      </c>
    </row>
    <row r="732" spans="1:4" x14ac:dyDescent="0.3">
      <c r="A732" s="1" t="s">
        <v>467</v>
      </c>
      <c r="B732" s="3">
        <v>1.6</v>
      </c>
      <c r="C732" s="3">
        <v>3.6799999999999997</v>
      </c>
      <c r="D732" s="1" t="str">
        <f t="shared" si="11"/>
        <v>10 mildən çox sifarişə 20 faiz endirim</v>
      </c>
    </row>
    <row r="733" spans="1:4" x14ac:dyDescent="0.3">
      <c r="A733" s="1" t="s">
        <v>534</v>
      </c>
      <c r="B733" s="3">
        <v>1.25</v>
      </c>
      <c r="C733" s="3">
        <v>3.15</v>
      </c>
      <c r="D733" s="1" t="str">
        <f t="shared" si="11"/>
        <v>10 mildən çox sifarişə 30 faiz endirim</v>
      </c>
    </row>
    <row r="734" spans="1:4" x14ac:dyDescent="0.3">
      <c r="A734" s="1" t="s">
        <v>188</v>
      </c>
      <c r="B734" s="3">
        <v>2.5</v>
      </c>
      <c r="C734" s="3">
        <v>5.6499999999999995</v>
      </c>
      <c r="D734" s="1" t="str">
        <f t="shared" si="11"/>
        <v>10 mildən çox sifarişə 20 faiz endirim</v>
      </c>
    </row>
    <row r="735" spans="1:4" x14ac:dyDescent="0.3">
      <c r="A735" s="1" t="s">
        <v>468</v>
      </c>
      <c r="B735" s="3">
        <v>1.3333333333333333</v>
      </c>
      <c r="C735" s="3">
        <v>9.3333333333333339</v>
      </c>
      <c r="D735" s="1" t="str">
        <f t="shared" si="11"/>
        <v>tətbiq edilmir</v>
      </c>
    </row>
    <row r="736" spans="1:4" x14ac:dyDescent="0.3">
      <c r="A736" s="1" t="s">
        <v>506</v>
      </c>
      <c r="B736" s="3">
        <v>1.5</v>
      </c>
      <c r="C736" s="3">
        <v>5.6000000000000005</v>
      </c>
      <c r="D736" s="1" t="str">
        <f t="shared" si="11"/>
        <v>10 mildən çox sifarişə 30 faiz endirim</v>
      </c>
    </row>
    <row r="737" spans="1:4" x14ac:dyDescent="0.3">
      <c r="A737" s="1" t="s">
        <v>189</v>
      </c>
      <c r="B737" s="3">
        <v>1.3333333333333333</v>
      </c>
      <c r="C737" s="3">
        <v>4.3666666666666663</v>
      </c>
      <c r="D737" s="1" t="str">
        <f t="shared" si="11"/>
        <v>10 mildən çox sifarişə 30 faiz endirim</v>
      </c>
    </row>
    <row r="738" spans="1:4" x14ac:dyDescent="0.3">
      <c r="A738" s="1" t="s">
        <v>247</v>
      </c>
      <c r="B738" s="3">
        <v>1.25</v>
      </c>
      <c r="C738" s="3">
        <v>6.8</v>
      </c>
      <c r="D738" s="1" t="str">
        <f t="shared" si="11"/>
        <v>10 mildən çox sifarişə 30 faiz endirim</v>
      </c>
    </row>
    <row r="739" spans="1:4" x14ac:dyDescent="0.3">
      <c r="A739" s="1" t="s">
        <v>733</v>
      </c>
      <c r="B739" s="3">
        <v>1.5</v>
      </c>
      <c r="C739" s="3">
        <v>4.1500000000000004</v>
      </c>
      <c r="D739" s="1" t="str">
        <f t="shared" si="11"/>
        <v>10 mildən çox sifarişə 30 faiz endirim</v>
      </c>
    </row>
    <row r="740" spans="1:4" x14ac:dyDescent="0.3">
      <c r="A740" s="1" t="s">
        <v>190</v>
      </c>
      <c r="B740" s="3">
        <v>1.3333333333333333</v>
      </c>
      <c r="C740" s="3">
        <v>4.2666666666666666</v>
      </c>
      <c r="D740" s="1" t="str">
        <f t="shared" si="11"/>
        <v>10 mildən çox sifarişə 30 faiz endirim</v>
      </c>
    </row>
    <row r="741" spans="1:4" x14ac:dyDescent="0.3">
      <c r="A741" s="1" t="s">
        <v>418</v>
      </c>
      <c r="B741" s="3">
        <v>1.5</v>
      </c>
      <c r="C741" s="3">
        <v>3.4000000000000004</v>
      </c>
      <c r="D741" s="1" t="str">
        <f t="shared" si="11"/>
        <v>10 mildən çox sifarişə 30 faiz endirim</v>
      </c>
    </row>
    <row r="742" spans="1:4" x14ac:dyDescent="0.3">
      <c r="A742" s="1" t="s">
        <v>191</v>
      </c>
      <c r="B742" s="3">
        <v>1.5</v>
      </c>
      <c r="C742" s="3">
        <v>2.6</v>
      </c>
      <c r="D742" s="1" t="str">
        <f t="shared" si="11"/>
        <v>10 mildən çox sifarişə 30 faiz endirim</v>
      </c>
    </row>
    <row r="743" spans="1:4" x14ac:dyDescent="0.3">
      <c r="A743" s="1" t="s">
        <v>507</v>
      </c>
      <c r="B743" s="3">
        <v>1.3333333333333333</v>
      </c>
      <c r="C743" s="3">
        <v>2.1166666666666667</v>
      </c>
      <c r="D743" s="1" t="str">
        <f t="shared" si="11"/>
        <v>10 mildən çox sifarişə 30 faiz endirim</v>
      </c>
    </row>
    <row r="744" spans="1:4" x14ac:dyDescent="0.3">
      <c r="A744" s="1" t="s">
        <v>308</v>
      </c>
      <c r="B744" s="3">
        <v>1</v>
      </c>
      <c r="C744" s="3">
        <v>2.6999999999999997</v>
      </c>
      <c r="D744" s="1" t="str">
        <f t="shared" si="11"/>
        <v>10 mildən çox sifarişə 30 faiz endirim</v>
      </c>
    </row>
    <row r="745" spans="1:4" x14ac:dyDescent="0.3">
      <c r="A745" s="1" t="s">
        <v>370</v>
      </c>
      <c r="B745" s="3">
        <v>1</v>
      </c>
      <c r="C745" s="3">
        <v>6.0400000000000009</v>
      </c>
      <c r="D745" s="1" t="str">
        <f t="shared" si="11"/>
        <v>10 mildən çox sifarişə 30 faiz endirim</v>
      </c>
    </row>
    <row r="746" spans="1:4" x14ac:dyDescent="0.3">
      <c r="A746" s="1" t="s">
        <v>192</v>
      </c>
      <c r="B746" s="3">
        <v>2.3333333333333335</v>
      </c>
      <c r="C746" s="3">
        <v>11.266666666666666</v>
      </c>
      <c r="D746" s="1" t="str">
        <f t="shared" si="11"/>
        <v>10 mildən çox sifarişə 20 faiz endirim</v>
      </c>
    </row>
    <row r="747" spans="1:4" x14ac:dyDescent="0.3">
      <c r="A747" s="1" t="s">
        <v>870</v>
      </c>
      <c r="B747" s="3">
        <v>2</v>
      </c>
      <c r="C747" s="3">
        <v>4.5999999999999996</v>
      </c>
      <c r="D747" s="1" t="str">
        <f t="shared" si="11"/>
        <v>10 mildən çox sifarişə 20 faiz endirim</v>
      </c>
    </row>
    <row r="748" spans="1:4" x14ac:dyDescent="0.3">
      <c r="A748" s="1" t="s">
        <v>193</v>
      </c>
      <c r="B748" s="3">
        <v>1.2</v>
      </c>
      <c r="C748" s="3">
        <v>5</v>
      </c>
      <c r="D748" s="1" t="str">
        <f t="shared" si="11"/>
        <v>10 mildən çox sifarişə 30 faiz endirim</v>
      </c>
    </row>
    <row r="749" spans="1:4" x14ac:dyDescent="0.3">
      <c r="A749" s="1" t="s">
        <v>194</v>
      </c>
      <c r="B749" s="3">
        <v>1.6666666666666667</v>
      </c>
      <c r="C749" s="3">
        <v>3.5666666666666664</v>
      </c>
      <c r="D749" s="1" t="str">
        <f t="shared" si="11"/>
        <v>10 mildən çox sifarişə 20 faiz endirim</v>
      </c>
    </row>
    <row r="750" spans="1:4" x14ac:dyDescent="0.3">
      <c r="A750" s="1" t="s">
        <v>248</v>
      </c>
      <c r="B750" s="3">
        <v>1</v>
      </c>
      <c r="C750" s="3">
        <v>1.5666666666666664</v>
      </c>
      <c r="D750" s="1" t="str">
        <f t="shared" si="11"/>
        <v>10 mildən çox sifarişə 30 faiz endirim</v>
      </c>
    </row>
    <row r="751" spans="1:4" x14ac:dyDescent="0.3">
      <c r="A751" s="1" t="s">
        <v>469</v>
      </c>
      <c r="B751" s="3">
        <v>1</v>
      </c>
      <c r="C751" s="3">
        <v>4.24</v>
      </c>
      <c r="D751" s="1" t="str">
        <f t="shared" si="11"/>
        <v>10 mildən çox sifarişə 30 faiz endirim</v>
      </c>
    </row>
    <row r="752" spans="1:4" x14ac:dyDescent="0.3">
      <c r="A752" s="1" t="s">
        <v>684</v>
      </c>
      <c r="B752" s="3">
        <v>1.5</v>
      </c>
      <c r="C752" s="3">
        <v>6.5749999999999993</v>
      </c>
      <c r="D752" s="1" t="str">
        <f t="shared" si="11"/>
        <v>10 mildən çox sifarişə 30 faiz endirim</v>
      </c>
    </row>
    <row r="753" spans="1:4" x14ac:dyDescent="0.3">
      <c r="A753" s="1" t="s">
        <v>508</v>
      </c>
      <c r="B753" s="3">
        <v>1.8</v>
      </c>
      <c r="C753" s="3">
        <v>7.3599999999999994</v>
      </c>
      <c r="D753" s="1" t="str">
        <f t="shared" si="11"/>
        <v>10 mildən çox sifarişə 20 faiz endirim</v>
      </c>
    </row>
    <row r="754" spans="1:4" x14ac:dyDescent="0.3">
      <c r="A754" s="1" t="s">
        <v>104</v>
      </c>
      <c r="B754" s="3">
        <v>2</v>
      </c>
      <c r="C754" s="3">
        <v>10.049999999999999</v>
      </c>
      <c r="D754" s="1" t="str">
        <f t="shared" si="11"/>
        <v>10 mildən çox sifarişə 20 faiz endirim</v>
      </c>
    </row>
    <row r="755" spans="1:4" x14ac:dyDescent="0.3">
      <c r="A755" s="1" t="s">
        <v>535</v>
      </c>
      <c r="B755" s="3">
        <v>1.6</v>
      </c>
      <c r="C755" s="3">
        <v>8.52</v>
      </c>
      <c r="D755" s="1" t="str">
        <f t="shared" si="11"/>
        <v>10 mildən çox sifarişə 20 faiz endirim</v>
      </c>
    </row>
    <row r="756" spans="1:4" x14ac:dyDescent="0.3">
      <c r="A756" s="1" t="s">
        <v>419</v>
      </c>
      <c r="B756" s="3">
        <v>1.25</v>
      </c>
      <c r="C756" s="3">
        <v>6.0250000000000004</v>
      </c>
      <c r="D756" s="1" t="str">
        <f t="shared" si="11"/>
        <v>10 mildən çox sifarişə 30 faiz endirim</v>
      </c>
    </row>
    <row r="757" spans="1:4" x14ac:dyDescent="0.3">
      <c r="A757" s="1" t="s">
        <v>607</v>
      </c>
      <c r="B757" s="3">
        <v>1.75</v>
      </c>
      <c r="C757" s="3">
        <v>4.25</v>
      </c>
      <c r="D757" s="1" t="str">
        <f t="shared" si="11"/>
        <v>10 mildən çox sifarişə 20 faiz endirim</v>
      </c>
    </row>
    <row r="758" spans="1:4" x14ac:dyDescent="0.3">
      <c r="A758" s="1" t="s">
        <v>509</v>
      </c>
      <c r="B758" s="3">
        <v>1.5</v>
      </c>
      <c r="C758" s="3">
        <v>8.8500000000000014</v>
      </c>
      <c r="D758" s="1" t="str">
        <f t="shared" si="11"/>
        <v>tətbiq edilmir</v>
      </c>
    </row>
    <row r="759" spans="1:4" x14ac:dyDescent="0.3">
      <c r="A759" s="1" t="s">
        <v>876</v>
      </c>
      <c r="B759" s="3">
        <v>1</v>
      </c>
      <c r="C759" s="3">
        <v>4.9000000000000004</v>
      </c>
      <c r="D759" s="1" t="str">
        <f t="shared" si="11"/>
        <v>10 mildən çox sifarişə 30 faiz endirim</v>
      </c>
    </row>
    <row r="760" spans="1:4" x14ac:dyDescent="0.3">
      <c r="A760" s="1" t="s">
        <v>582</v>
      </c>
      <c r="B760" s="3">
        <v>1.4</v>
      </c>
      <c r="C760" s="3">
        <v>5.7799999999999994</v>
      </c>
      <c r="D760" s="1" t="str">
        <f t="shared" si="11"/>
        <v>10 mildən çox sifarişə 30 faiz endirim</v>
      </c>
    </row>
    <row r="761" spans="1:4" x14ac:dyDescent="0.3">
      <c r="A761" s="1" t="s">
        <v>685</v>
      </c>
      <c r="B761" s="3">
        <v>1.2</v>
      </c>
      <c r="C761" s="3">
        <v>4.24</v>
      </c>
      <c r="D761" s="1" t="str">
        <f t="shared" si="11"/>
        <v>10 mildən çox sifarişə 30 faiz endirim</v>
      </c>
    </row>
    <row r="762" spans="1:4" x14ac:dyDescent="0.3">
      <c r="A762" s="1" t="s">
        <v>195</v>
      </c>
      <c r="B762" s="3">
        <v>1.6666666666666667</v>
      </c>
      <c r="C762" s="3">
        <v>6.4333333333333327</v>
      </c>
      <c r="D762" s="1" t="str">
        <f t="shared" si="11"/>
        <v>10 mildən çox sifarişə 20 faiz endirim</v>
      </c>
    </row>
    <row r="763" spans="1:4" x14ac:dyDescent="0.3">
      <c r="A763" s="1" t="s">
        <v>105</v>
      </c>
      <c r="B763" s="3">
        <v>1.5</v>
      </c>
      <c r="C763" s="3">
        <v>5.3999999999999995</v>
      </c>
      <c r="D763" s="1" t="str">
        <f t="shared" si="11"/>
        <v>10 mildən çox sifarişə 30 faiz endirim</v>
      </c>
    </row>
    <row r="764" spans="1:4" x14ac:dyDescent="0.3">
      <c r="A764" s="1" t="s">
        <v>249</v>
      </c>
      <c r="B764" s="3">
        <v>1.2</v>
      </c>
      <c r="C764" s="3">
        <v>5.3000000000000007</v>
      </c>
      <c r="D764" s="1" t="str">
        <f t="shared" si="11"/>
        <v>10 mildən çox sifarişə 30 faiz endirim</v>
      </c>
    </row>
    <row r="765" spans="1:4" x14ac:dyDescent="0.3">
      <c r="A765" s="1" t="s">
        <v>697</v>
      </c>
      <c r="B765" s="3">
        <v>1.4</v>
      </c>
      <c r="C765" s="3">
        <v>4.58</v>
      </c>
      <c r="D765" s="1" t="str">
        <f t="shared" si="11"/>
        <v>10 mildən çox sifarişə 30 faiz endirim</v>
      </c>
    </row>
    <row r="766" spans="1:4" x14ac:dyDescent="0.3">
      <c r="A766" s="1" t="s">
        <v>715</v>
      </c>
      <c r="B766" s="3">
        <v>1.3333333333333333</v>
      </c>
      <c r="C766" s="3">
        <v>6.0333333333333341</v>
      </c>
      <c r="D766" s="1" t="str">
        <f t="shared" si="11"/>
        <v>10 mildən çox sifarişə 30 faiz endirim</v>
      </c>
    </row>
    <row r="767" spans="1:4" x14ac:dyDescent="0.3">
      <c r="A767" s="1" t="s">
        <v>470</v>
      </c>
      <c r="B767" s="3">
        <v>1</v>
      </c>
      <c r="C767" s="3">
        <v>1.24</v>
      </c>
      <c r="D767" s="1" t="str">
        <f t="shared" si="11"/>
        <v>10 mildən çox sifarişə 30 faiz endirim</v>
      </c>
    </row>
    <row r="768" spans="1:4" x14ac:dyDescent="0.3">
      <c r="A768" s="1" t="s">
        <v>250</v>
      </c>
      <c r="B768" s="3">
        <v>1.25</v>
      </c>
      <c r="C768" s="3">
        <v>2.4499999999999997</v>
      </c>
      <c r="D768" s="1" t="str">
        <f t="shared" si="11"/>
        <v>10 mildən çox sifarişə 30 faiz endirim</v>
      </c>
    </row>
    <row r="769" spans="1:4" x14ac:dyDescent="0.3">
      <c r="A769" s="1" t="s">
        <v>752</v>
      </c>
      <c r="B769" s="3">
        <v>1.5</v>
      </c>
      <c r="C769" s="3">
        <v>2.4500000000000002</v>
      </c>
      <c r="D769" s="1" t="str">
        <f t="shared" si="11"/>
        <v>10 mildən çox sifarişə 30 faiz endirim</v>
      </c>
    </row>
    <row r="770" spans="1:4" x14ac:dyDescent="0.3">
      <c r="A770" s="1" t="s">
        <v>849</v>
      </c>
      <c r="B770" s="3">
        <v>2.3333333333333335</v>
      </c>
      <c r="C770" s="3">
        <v>5.5</v>
      </c>
      <c r="D770" s="1" t="str">
        <f t="shared" si="11"/>
        <v>10 mildən çox sifarişə 20 faiz endirim</v>
      </c>
    </row>
    <row r="771" spans="1:4" x14ac:dyDescent="0.3">
      <c r="A771" s="1" t="s">
        <v>583</v>
      </c>
      <c r="B771" s="3">
        <v>1</v>
      </c>
      <c r="C771" s="3">
        <v>0.95</v>
      </c>
      <c r="D771" s="1" t="str">
        <f t="shared" ref="D771:D834" si="12">IF( B771&lt;1, "gündəlik bir gedişə 30% endirim", IF(B771&gt;1.5, "10 mildən çox sifarişə 20 faiz endirim", IF(C771&lt;7, "10 mildən çox sifarişə 30 faiz endirim", "tətbiq edilmir") ))</f>
        <v>10 mildən çox sifarişə 30 faiz endirim</v>
      </c>
    </row>
    <row r="772" spans="1:4" x14ac:dyDescent="0.3">
      <c r="A772" s="1" t="s">
        <v>753</v>
      </c>
      <c r="B772" s="3">
        <v>1</v>
      </c>
      <c r="C772" s="3">
        <v>2.7333333333333329</v>
      </c>
      <c r="D772" s="1" t="str">
        <f t="shared" si="12"/>
        <v>10 mildən çox sifarişə 30 faiz endirim</v>
      </c>
    </row>
    <row r="773" spans="1:4" x14ac:dyDescent="0.3">
      <c r="A773" s="1" t="s">
        <v>820</v>
      </c>
      <c r="B773" s="3">
        <v>1.5</v>
      </c>
      <c r="C773" s="3">
        <v>3</v>
      </c>
      <c r="D773" s="1" t="str">
        <f t="shared" si="12"/>
        <v>10 mildən çox sifarişə 30 faiz endirim</v>
      </c>
    </row>
    <row r="774" spans="1:4" x14ac:dyDescent="0.3">
      <c r="A774" s="1" t="s">
        <v>510</v>
      </c>
      <c r="B774" s="3">
        <v>2.5</v>
      </c>
      <c r="C774" s="3">
        <v>17.299999999999997</v>
      </c>
      <c r="D774" s="1" t="str">
        <f t="shared" si="12"/>
        <v>10 mildən çox sifarişə 20 faiz endirim</v>
      </c>
    </row>
    <row r="775" spans="1:4" x14ac:dyDescent="0.3">
      <c r="A775" s="1" t="s">
        <v>196</v>
      </c>
      <c r="B775" s="3">
        <v>2</v>
      </c>
      <c r="C775" s="3">
        <v>3.55</v>
      </c>
      <c r="D775" s="1" t="str">
        <f t="shared" si="12"/>
        <v>10 mildən çox sifarişə 20 faiz endirim</v>
      </c>
    </row>
    <row r="776" spans="1:4" x14ac:dyDescent="0.3">
      <c r="A776" s="1" t="s">
        <v>648</v>
      </c>
      <c r="B776" s="3">
        <v>1.2</v>
      </c>
      <c r="C776" s="3">
        <v>5.6800000000000006</v>
      </c>
      <c r="D776" s="1" t="str">
        <f t="shared" si="12"/>
        <v>10 mildən çox sifarişə 30 faiz endirim</v>
      </c>
    </row>
    <row r="777" spans="1:4" x14ac:dyDescent="0.3">
      <c r="A777" s="1" t="s">
        <v>832</v>
      </c>
      <c r="B777" s="3">
        <v>1.3333333333333333</v>
      </c>
      <c r="C777" s="3">
        <v>3.6333333333333329</v>
      </c>
      <c r="D777" s="1" t="str">
        <f t="shared" si="12"/>
        <v>10 mildən çox sifarişə 30 faiz endirim</v>
      </c>
    </row>
    <row r="778" spans="1:4" x14ac:dyDescent="0.3">
      <c r="A778" s="1" t="s">
        <v>584</v>
      </c>
      <c r="B778" s="3">
        <v>1.3333333333333333</v>
      </c>
      <c r="C778" s="3">
        <v>6.4333333333333327</v>
      </c>
      <c r="D778" s="1" t="str">
        <f t="shared" si="12"/>
        <v>10 mildən çox sifarişə 30 faiz endirim</v>
      </c>
    </row>
    <row r="779" spans="1:4" x14ac:dyDescent="0.3">
      <c r="A779" s="1" t="s">
        <v>928</v>
      </c>
      <c r="B779" s="3">
        <v>1</v>
      </c>
      <c r="C779" s="3">
        <v>5.8</v>
      </c>
      <c r="D779" s="1" t="str">
        <f t="shared" si="12"/>
        <v>10 mildən çox sifarişə 30 faiz endirim</v>
      </c>
    </row>
    <row r="780" spans="1:4" x14ac:dyDescent="0.3">
      <c r="A780" s="1" t="s">
        <v>686</v>
      </c>
      <c r="B780" s="3">
        <v>1.5</v>
      </c>
      <c r="C780" s="3">
        <v>87.300000000000011</v>
      </c>
      <c r="D780" s="1" t="str">
        <f t="shared" si="12"/>
        <v>tətbiq edilmir</v>
      </c>
    </row>
    <row r="781" spans="1:4" x14ac:dyDescent="0.3">
      <c r="A781" s="1" t="s">
        <v>912</v>
      </c>
      <c r="B781" s="3">
        <v>1</v>
      </c>
      <c r="C781" s="3">
        <v>3.2750000000000004</v>
      </c>
      <c r="D781" s="1" t="str">
        <f t="shared" si="12"/>
        <v>10 mildən çox sifarişə 30 faiz endirim</v>
      </c>
    </row>
    <row r="782" spans="1:4" x14ac:dyDescent="0.3">
      <c r="A782" s="1" t="s">
        <v>371</v>
      </c>
      <c r="B782" s="3">
        <v>1</v>
      </c>
      <c r="C782" s="3">
        <v>3.3199999999999994</v>
      </c>
      <c r="D782" s="1" t="str">
        <f t="shared" si="12"/>
        <v>10 mildən çox sifarişə 30 faiz endirim</v>
      </c>
    </row>
    <row r="783" spans="1:4" x14ac:dyDescent="0.3">
      <c r="A783" s="1" t="s">
        <v>754</v>
      </c>
      <c r="B783" s="3">
        <v>1</v>
      </c>
      <c r="C783" s="3">
        <v>6.9000000000000012</v>
      </c>
      <c r="D783" s="1" t="str">
        <f t="shared" si="12"/>
        <v>10 mildən çox sifarişə 30 faiz endirim</v>
      </c>
    </row>
    <row r="784" spans="1:4" x14ac:dyDescent="0.3">
      <c r="A784" s="1" t="s">
        <v>251</v>
      </c>
      <c r="B784" s="3">
        <v>2</v>
      </c>
      <c r="C784" s="3">
        <v>7.1750000000000007</v>
      </c>
      <c r="D784" s="1" t="str">
        <f t="shared" si="12"/>
        <v>10 mildən çox sifarişə 20 faiz endirim</v>
      </c>
    </row>
    <row r="785" spans="1:4" x14ac:dyDescent="0.3">
      <c r="A785" s="1" t="s">
        <v>471</v>
      </c>
      <c r="B785" s="3">
        <v>2</v>
      </c>
      <c r="C785" s="3">
        <v>3.3333333333333335</v>
      </c>
      <c r="D785" s="1" t="str">
        <f t="shared" si="12"/>
        <v>10 mildən çox sifarişə 20 faiz endirim</v>
      </c>
    </row>
    <row r="786" spans="1:4" x14ac:dyDescent="0.3">
      <c r="A786" s="1" t="s">
        <v>106</v>
      </c>
      <c r="B786" s="3">
        <v>2</v>
      </c>
      <c r="C786" s="3">
        <v>3.7333333333333329</v>
      </c>
      <c r="D786" s="1" t="str">
        <f t="shared" si="12"/>
        <v>10 mildən çox sifarişə 20 faiz endirim</v>
      </c>
    </row>
    <row r="787" spans="1:4" x14ac:dyDescent="0.3">
      <c r="A787" s="1" t="s">
        <v>107</v>
      </c>
      <c r="B787" s="3">
        <v>2</v>
      </c>
      <c r="C787" s="3">
        <v>5.8666666666666663</v>
      </c>
      <c r="D787" s="1" t="str">
        <f t="shared" si="12"/>
        <v>10 mildən çox sifarişə 20 faiz endirim</v>
      </c>
    </row>
    <row r="788" spans="1:4" x14ac:dyDescent="0.3">
      <c r="A788" s="1" t="s">
        <v>252</v>
      </c>
      <c r="B788" s="3">
        <v>1.8</v>
      </c>
      <c r="C788" s="3">
        <v>6.94</v>
      </c>
      <c r="D788" s="1" t="str">
        <f t="shared" si="12"/>
        <v>10 mildən çox sifarişə 20 faiz endirim</v>
      </c>
    </row>
    <row r="789" spans="1:4" x14ac:dyDescent="0.3">
      <c r="A789" s="1" t="s">
        <v>905</v>
      </c>
      <c r="B789" s="3">
        <v>2</v>
      </c>
      <c r="C789" s="3">
        <v>6.4</v>
      </c>
      <c r="D789" s="1" t="str">
        <f t="shared" si="12"/>
        <v>10 mildən çox sifarişə 20 faiz endirim</v>
      </c>
    </row>
    <row r="790" spans="1:4" x14ac:dyDescent="0.3">
      <c r="A790" s="1" t="s">
        <v>309</v>
      </c>
      <c r="B790" s="3">
        <v>1</v>
      </c>
      <c r="C790" s="3">
        <v>10</v>
      </c>
      <c r="D790" s="1" t="str">
        <f t="shared" si="12"/>
        <v>tətbiq edilmir</v>
      </c>
    </row>
    <row r="791" spans="1:4" x14ac:dyDescent="0.3">
      <c r="A791" s="1" t="s">
        <v>536</v>
      </c>
      <c r="B791" s="3">
        <v>1.6666666666666667</v>
      </c>
      <c r="C791" s="3">
        <v>2.4333333333333331</v>
      </c>
      <c r="D791" s="1" t="str">
        <f t="shared" si="12"/>
        <v>10 mildən çox sifarişə 20 faiz endirim</v>
      </c>
    </row>
    <row r="792" spans="1:4" x14ac:dyDescent="0.3">
      <c r="A792" s="1" t="s">
        <v>372</v>
      </c>
      <c r="B792" s="3">
        <v>1.25</v>
      </c>
      <c r="C792" s="3">
        <v>3.95</v>
      </c>
      <c r="D792" s="1" t="str">
        <f t="shared" si="12"/>
        <v>10 mildən çox sifarişə 30 faiz endirim</v>
      </c>
    </row>
    <row r="793" spans="1:4" x14ac:dyDescent="0.3">
      <c r="A793" s="1" t="s">
        <v>472</v>
      </c>
      <c r="B793" s="3">
        <v>1.5</v>
      </c>
      <c r="C793" s="3">
        <v>1.35</v>
      </c>
      <c r="D793" s="1" t="str">
        <f t="shared" si="12"/>
        <v>10 mildən çox sifarişə 30 faiz endirim</v>
      </c>
    </row>
    <row r="794" spans="1:4" x14ac:dyDescent="0.3">
      <c r="A794" s="1" t="s">
        <v>108</v>
      </c>
      <c r="B794" s="3">
        <v>1.5</v>
      </c>
      <c r="C794" s="3">
        <v>6.0166666666666666</v>
      </c>
      <c r="D794" s="1" t="str">
        <f t="shared" si="12"/>
        <v>10 mildən çox sifarişə 30 faiz endirim</v>
      </c>
    </row>
    <row r="795" spans="1:4" x14ac:dyDescent="0.3">
      <c r="A795" s="1" t="s">
        <v>871</v>
      </c>
      <c r="B795" s="3">
        <v>1.5</v>
      </c>
      <c r="C795" s="3">
        <v>5.7250000000000005</v>
      </c>
      <c r="D795" s="1" t="str">
        <f t="shared" si="12"/>
        <v>10 mildən çox sifarişə 30 faiz endirim</v>
      </c>
    </row>
    <row r="796" spans="1:4" x14ac:dyDescent="0.3">
      <c r="A796" s="1" t="s">
        <v>473</v>
      </c>
      <c r="B796" s="3">
        <v>1.25</v>
      </c>
      <c r="C796" s="3">
        <v>10</v>
      </c>
      <c r="D796" s="1" t="str">
        <f t="shared" si="12"/>
        <v>tətbiq edilmir</v>
      </c>
    </row>
    <row r="797" spans="1:4" x14ac:dyDescent="0.3">
      <c r="A797" s="1" t="s">
        <v>649</v>
      </c>
      <c r="B797" s="3">
        <v>1.3333333333333333</v>
      </c>
      <c r="C797" s="3">
        <v>4.166666666666667</v>
      </c>
      <c r="D797" s="1" t="str">
        <f t="shared" si="12"/>
        <v>10 mildən çox sifarişə 30 faiz endirim</v>
      </c>
    </row>
    <row r="798" spans="1:4" x14ac:dyDescent="0.3">
      <c r="A798" s="1" t="s">
        <v>585</v>
      </c>
      <c r="B798" s="3">
        <v>1.4</v>
      </c>
      <c r="C798" s="3">
        <v>2.5599999999999996</v>
      </c>
      <c r="D798" s="1" t="str">
        <f t="shared" si="12"/>
        <v>10 mildən çox sifarişə 30 faiz endirim</v>
      </c>
    </row>
    <row r="799" spans="1:4" x14ac:dyDescent="0.3">
      <c r="A799" s="1" t="s">
        <v>373</v>
      </c>
      <c r="B799" s="3">
        <v>1.6666666666666667</v>
      </c>
      <c r="C799" s="3">
        <v>4.833333333333333</v>
      </c>
      <c r="D799" s="1" t="str">
        <f t="shared" si="12"/>
        <v>10 mildən çox sifarişə 20 faiz endirim</v>
      </c>
    </row>
    <row r="800" spans="1:4" x14ac:dyDescent="0.3">
      <c r="A800" s="1" t="s">
        <v>755</v>
      </c>
      <c r="B800" s="3">
        <v>1</v>
      </c>
      <c r="C800" s="3">
        <v>1.5333333333333332</v>
      </c>
      <c r="D800" s="1" t="str">
        <f t="shared" si="12"/>
        <v>10 mildən çox sifarişə 30 faiz endirim</v>
      </c>
    </row>
    <row r="801" spans="1:4" x14ac:dyDescent="0.3">
      <c r="A801" s="1" t="s">
        <v>881</v>
      </c>
      <c r="B801" s="3">
        <v>1.25</v>
      </c>
      <c r="C801" s="3">
        <v>8.4</v>
      </c>
      <c r="D801" s="1" t="str">
        <f t="shared" si="12"/>
        <v>tətbiq edilmir</v>
      </c>
    </row>
    <row r="802" spans="1:4" x14ac:dyDescent="0.3">
      <c r="A802" s="1" t="s">
        <v>197</v>
      </c>
      <c r="B802" s="3">
        <v>1.6666666666666667</v>
      </c>
      <c r="C802" s="3">
        <v>8.2833333333333332</v>
      </c>
      <c r="D802" s="1" t="str">
        <f t="shared" si="12"/>
        <v>10 mildən çox sifarişə 20 faiz endirim</v>
      </c>
    </row>
    <row r="803" spans="1:4" x14ac:dyDescent="0.3">
      <c r="A803" s="1" t="s">
        <v>420</v>
      </c>
      <c r="B803" s="3">
        <v>1.5</v>
      </c>
      <c r="C803" s="3">
        <v>9.8999999999999986</v>
      </c>
      <c r="D803" s="1" t="str">
        <f t="shared" si="12"/>
        <v>tətbiq edilmir</v>
      </c>
    </row>
    <row r="804" spans="1:4" x14ac:dyDescent="0.3">
      <c r="A804" s="1" t="s">
        <v>537</v>
      </c>
      <c r="B804" s="3">
        <v>1.8</v>
      </c>
      <c r="C804" s="3">
        <v>6.160000000000001</v>
      </c>
      <c r="D804" s="1" t="str">
        <f t="shared" si="12"/>
        <v>10 mildən çox sifarişə 20 faiz endirim</v>
      </c>
    </row>
    <row r="805" spans="1:4" x14ac:dyDescent="0.3">
      <c r="A805" s="1" t="s">
        <v>374</v>
      </c>
      <c r="B805" s="3">
        <v>1.2</v>
      </c>
      <c r="C805" s="3">
        <v>4.6399999999999997</v>
      </c>
      <c r="D805" s="1" t="str">
        <f t="shared" si="12"/>
        <v>10 mildən çox sifarişə 30 faiz endirim</v>
      </c>
    </row>
    <row r="806" spans="1:4" x14ac:dyDescent="0.3">
      <c r="A806" s="1" t="s">
        <v>375</v>
      </c>
      <c r="B806" s="3">
        <v>1.75</v>
      </c>
      <c r="C806" s="3">
        <v>5.9499999999999993</v>
      </c>
      <c r="D806" s="1" t="str">
        <f t="shared" si="12"/>
        <v>10 mildən çox sifarişə 20 faiz endirim</v>
      </c>
    </row>
    <row r="807" spans="1:4" x14ac:dyDescent="0.3">
      <c r="A807" s="1" t="s">
        <v>918</v>
      </c>
      <c r="B807" s="3">
        <v>1</v>
      </c>
      <c r="C807" s="3">
        <v>4.1500000000000004</v>
      </c>
      <c r="D807" s="1" t="str">
        <f t="shared" si="12"/>
        <v>10 mildən çox sifarişə 30 faiz endirim</v>
      </c>
    </row>
    <row r="808" spans="1:4" x14ac:dyDescent="0.3">
      <c r="A808" s="1" t="s">
        <v>538</v>
      </c>
      <c r="B808" s="3">
        <v>1.25</v>
      </c>
      <c r="C808" s="3">
        <v>4.4000000000000004</v>
      </c>
      <c r="D808" s="1" t="str">
        <f t="shared" si="12"/>
        <v>10 mildən çox sifarişə 30 faiz endirim</v>
      </c>
    </row>
    <row r="809" spans="1:4" x14ac:dyDescent="0.3">
      <c r="A809" s="1" t="s">
        <v>608</v>
      </c>
      <c r="B809" s="3">
        <v>1.3333333333333333</v>
      </c>
      <c r="C809" s="3">
        <v>8.2333333333333325</v>
      </c>
      <c r="D809" s="1" t="str">
        <f t="shared" si="12"/>
        <v>tətbiq edilmir</v>
      </c>
    </row>
    <row r="810" spans="1:4" x14ac:dyDescent="0.3">
      <c r="A810" s="1" t="s">
        <v>756</v>
      </c>
      <c r="B810" s="3">
        <v>2</v>
      </c>
      <c r="C810" s="3">
        <v>16.149999999999999</v>
      </c>
      <c r="D810" s="1" t="str">
        <f t="shared" si="12"/>
        <v>10 mildən çox sifarişə 20 faiz endirim</v>
      </c>
    </row>
    <row r="811" spans="1:4" x14ac:dyDescent="0.3">
      <c r="A811" s="1" t="s">
        <v>198</v>
      </c>
      <c r="B811" s="3">
        <v>1.8</v>
      </c>
      <c r="C811" s="3">
        <v>7.6800000000000015</v>
      </c>
      <c r="D811" s="1" t="str">
        <f t="shared" si="12"/>
        <v>10 mildən çox sifarişə 20 faiz endirim</v>
      </c>
    </row>
    <row r="812" spans="1:4" x14ac:dyDescent="0.3">
      <c r="A812" s="1" t="s">
        <v>310</v>
      </c>
      <c r="B812" s="3">
        <v>1</v>
      </c>
      <c r="C812" s="3">
        <v>2.3333333333333335</v>
      </c>
      <c r="D812" s="1" t="str">
        <f t="shared" si="12"/>
        <v>10 mildən çox sifarişə 30 faiz endirim</v>
      </c>
    </row>
    <row r="813" spans="1:4" x14ac:dyDescent="0.3">
      <c r="A813" s="1" t="s">
        <v>253</v>
      </c>
      <c r="B813" s="3">
        <v>1.5</v>
      </c>
      <c r="C813" s="3">
        <v>4.3</v>
      </c>
      <c r="D813" s="1" t="str">
        <f t="shared" si="12"/>
        <v>10 mildən çox sifarişə 30 faiz endirim</v>
      </c>
    </row>
    <row r="814" spans="1:4" x14ac:dyDescent="0.3">
      <c r="A814" s="1" t="s">
        <v>734</v>
      </c>
      <c r="B814" s="3">
        <v>1.75</v>
      </c>
      <c r="C814" s="3">
        <v>4.25</v>
      </c>
      <c r="D814" s="1" t="str">
        <f t="shared" si="12"/>
        <v>10 mildən çox sifarişə 20 faiz endirim</v>
      </c>
    </row>
    <row r="815" spans="1:4" x14ac:dyDescent="0.3">
      <c r="A815" s="1" t="s">
        <v>199</v>
      </c>
      <c r="B815" s="3">
        <v>1.5</v>
      </c>
      <c r="C815" s="3">
        <v>4.4499999999999993</v>
      </c>
      <c r="D815" s="1" t="str">
        <f t="shared" si="12"/>
        <v>10 mildən çox sifarişə 30 faiz endirim</v>
      </c>
    </row>
    <row r="816" spans="1:4" x14ac:dyDescent="0.3">
      <c r="A816" s="1" t="s">
        <v>254</v>
      </c>
      <c r="B816" s="3">
        <v>1.25</v>
      </c>
      <c r="C816" s="3">
        <v>8.0749999999999993</v>
      </c>
      <c r="D816" s="1" t="str">
        <f t="shared" si="12"/>
        <v>tətbiq edilmir</v>
      </c>
    </row>
    <row r="817" spans="1:4" x14ac:dyDescent="0.3">
      <c r="A817" s="1" t="s">
        <v>200</v>
      </c>
      <c r="B817" s="3">
        <v>1.6666666666666667</v>
      </c>
      <c r="C817" s="3">
        <v>11.300000000000002</v>
      </c>
      <c r="D817" s="1" t="str">
        <f t="shared" si="12"/>
        <v>10 mildən çox sifarişə 20 faiz endirim</v>
      </c>
    </row>
    <row r="818" spans="1:4" x14ac:dyDescent="0.3">
      <c r="A818" s="1" t="s">
        <v>421</v>
      </c>
      <c r="B818" s="3">
        <v>1.5</v>
      </c>
      <c r="C818" s="3">
        <v>3.4750000000000001</v>
      </c>
      <c r="D818" s="1" t="str">
        <f t="shared" si="12"/>
        <v>10 mildən çox sifarişə 30 faiz endirim</v>
      </c>
    </row>
    <row r="819" spans="1:4" x14ac:dyDescent="0.3">
      <c r="A819" s="1" t="s">
        <v>609</v>
      </c>
      <c r="B819" s="3">
        <v>1</v>
      </c>
      <c r="C819" s="3">
        <v>4.8500000000000005</v>
      </c>
      <c r="D819" s="1" t="str">
        <f t="shared" si="12"/>
        <v>10 mildən çox sifarişə 30 faiz endirim</v>
      </c>
    </row>
    <row r="820" spans="1:4" x14ac:dyDescent="0.3">
      <c r="A820" s="1" t="s">
        <v>610</v>
      </c>
      <c r="B820" s="3">
        <v>1</v>
      </c>
      <c r="C820" s="3">
        <v>6.15</v>
      </c>
      <c r="D820" s="1" t="str">
        <f t="shared" si="12"/>
        <v>10 mildən çox sifarişə 30 faiz endirim</v>
      </c>
    </row>
    <row r="821" spans="1:4" x14ac:dyDescent="0.3">
      <c r="A821" s="1" t="s">
        <v>311</v>
      </c>
      <c r="B821" s="3">
        <v>1.25</v>
      </c>
      <c r="C821" s="3">
        <v>2.0750000000000002</v>
      </c>
      <c r="D821" s="1" t="str">
        <f t="shared" si="12"/>
        <v>10 mildən çox sifarişə 30 faiz endirim</v>
      </c>
    </row>
    <row r="822" spans="1:4" x14ac:dyDescent="0.3">
      <c r="A822" s="1" t="s">
        <v>650</v>
      </c>
      <c r="B822" s="3">
        <v>1</v>
      </c>
      <c r="C822" s="3">
        <v>0.76666666666666661</v>
      </c>
      <c r="D822" s="1" t="str">
        <f t="shared" si="12"/>
        <v>10 mildən çox sifarişə 30 faiz endirim</v>
      </c>
    </row>
    <row r="823" spans="1:4" x14ac:dyDescent="0.3">
      <c r="A823" s="1" t="s">
        <v>821</v>
      </c>
      <c r="B823" s="3">
        <v>1</v>
      </c>
      <c r="C823" s="3">
        <v>5.55</v>
      </c>
      <c r="D823" s="1" t="str">
        <f t="shared" si="12"/>
        <v>10 mildən çox sifarişə 30 faiz endirim</v>
      </c>
    </row>
    <row r="824" spans="1:4" x14ac:dyDescent="0.3">
      <c r="A824" s="1" t="s">
        <v>422</v>
      </c>
      <c r="B824" s="3">
        <v>1</v>
      </c>
      <c r="C824" s="3">
        <v>4.75</v>
      </c>
      <c r="D824" s="1" t="str">
        <f t="shared" si="12"/>
        <v>10 mildən çox sifarişə 30 faiz endirim</v>
      </c>
    </row>
    <row r="825" spans="1:4" x14ac:dyDescent="0.3">
      <c r="A825" s="1" t="s">
        <v>586</v>
      </c>
      <c r="B825" s="3">
        <v>1.6666666666666667</v>
      </c>
      <c r="C825" s="3">
        <v>3.2333333333333329</v>
      </c>
      <c r="D825" s="1" t="str">
        <f t="shared" si="12"/>
        <v>10 mildən çox sifarişə 20 faiz endirim</v>
      </c>
    </row>
    <row r="826" spans="1:4" x14ac:dyDescent="0.3">
      <c r="A826" s="1" t="s">
        <v>850</v>
      </c>
      <c r="B826" s="3">
        <v>1</v>
      </c>
      <c r="C826" s="3">
        <v>2.2999999999999998</v>
      </c>
      <c r="D826" s="1" t="str">
        <f t="shared" si="12"/>
        <v>10 mildən çox sifarişə 30 faiz endirim</v>
      </c>
    </row>
    <row r="827" spans="1:4" x14ac:dyDescent="0.3">
      <c r="A827" s="1" t="s">
        <v>255</v>
      </c>
      <c r="B827" s="3">
        <v>1.8</v>
      </c>
      <c r="C827" s="3">
        <v>8.120000000000001</v>
      </c>
      <c r="D827" s="1" t="str">
        <f t="shared" si="12"/>
        <v>10 mildən çox sifarişə 20 faiz endirim</v>
      </c>
    </row>
    <row r="828" spans="1:4" x14ac:dyDescent="0.3">
      <c r="A828" s="1" t="s">
        <v>872</v>
      </c>
      <c r="B828" s="3">
        <v>1.25</v>
      </c>
      <c r="C828" s="3">
        <v>8.15</v>
      </c>
      <c r="D828" s="1" t="str">
        <f t="shared" si="12"/>
        <v>tətbiq edilmir</v>
      </c>
    </row>
    <row r="829" spans="1:4" x14ac:dyDescent="0.3">
      <c r="A829" s="1" t="s">
        <v>201</v>
      </c>
      <c r="B829" s="3">
        <v>2</v>
      </c>
      <c r="C829" s="3">
        <v>15.5</v>
      </c>
      <c r="D829" s="1" t="str">
        <f t="shared" si="12"/>
        <v>10 mildən çox sifarişə 20 faiz endirim</v>
      </c>
    </row>
    <row r="830" spans="1:4" x14ac:dyDescent="0.3">
      <c r="A830" s="1" t="s">
        <v>202</v>
      </c>
      <c r="B830" s="3">
        <v>1.4</v>
      </c>
      <c r="C830" s="3">
        <v>3.9600000000000009</v>
      </c>
      <c r="D830" s="1" t="str">
        <f t="shared" si="12"/>
        <v>10 mildən çox sifarişə 30 faiz endirim</v>
      </c>
    </row>
    <row r="831" spans="1:4" x14ac:dyDescent="0.3">
      <c r="A831" s="1" t="s">
        <v>735</v>
      </c>
      <c r="B831" s="3">
        <v>1</v>
      </c>
      <c r="C831" s="3">
        <v>1.6666666666666667</v>
      </c>
      <c r="D831" s="1" t="str">
        <f t="shared" si="12"/>
        <v>10 mildən çox sifarişə 30 faiz endirim</v>
      </c>
    </row>
    <row r="832" spans="1:4" x14ac:dyDescent="0.3">
      <c r="A832" s="1" t="s">
        <v>312</v>
      </c>
      <c r="B832" s="3">
        <v>1.6666666666666667</v>
      </c>
      <c r="C832" s="3">
        <v>3.6</v>
      </c>
      <c r="D832" s="1" t="str">
        <f t="shared" si="12"/>
        <v>10 mildən çox sifarişə 20 faiz endirim</v>
      </c>
    </row>
    <row r="833" spans="1:4" x14ac:dyDescent="0.3">
      <c r="A833" s="1" t="s">
        <v>927</v>
      </c>
      <c r="B833" s="3">
        <v>1</v>
      </c>
      <c r="C833" s="3">
        <v>1</v>
      </c>
      <c r="D833" s="1" t="str">
        <f t="shared" si="12"/>
        <v>10 mildən çox sifarişə 30 faiz endirim</v>
      </c>
    </row>
    <row r="834" spans="1:4" x14ac:dyDescent="0.3">
      <c r="A834" s="1" t="s">
        <v>256</v>
      </c>
      <c r="B834" s="3">
        <v>1.6666666666666667</v>
      </c>
      <c r="C834" s="3">
        <v>7.3166666666666664</v>
      </c>
      <c r="D834" s="1" t="str">
        <f t="shared" si="12"/>
        <v>10 mildən çox sifarişə 20 faiz endirim</v>
      </c>
    </row>
    <row r="835" spans="1:4" x14ac:dyDescent="0.3">
      <c r="A835" s="1" t="s">
        <v>587</v>
      </c>
      <c r="B835" s="3">
        <v>1</v>
      </c>
      <c r="C835" s="3">
        <v>6.1750000000000007</v>
      </c>
      <c r="D835" s="1" t="str">
        <f t="shared" ref="D835:D872" si="13">IF( B835&lt;1, "gündəlik bir gedişə 30% endirim", IF(B835&gt;1.5, "10 mildən çox sifarişə 20 faiz endirim", IF(C835&lt;7, "10 mildən çox sifarişə 30 faiz endirim", "tətbiq edilmir") ))</f>
        <v>10 mildən çox sifarişə 30 faiz endirim</v>
      </c>
    </row>
    <row r="836" spans="1:4" x14ac:dyDescent="0.3">
      <c r="A836" s="1" t="s">
        <v>804</v>
      </c>
      <c r="B836" s="3">
        <v>1.25</v>
      </c>
      <c r="C836" s="3">
        <v>11</v>
      </c>
      <c r="D836" s="1" t="str">
        <f t="shared" si="13"/>
        <v>tətbiq edilmir</v>
      </c>
    </row>
    <row r="837" spans="1:4" x14ac:dyDescent="0.3">
      <c r="A837" s="1" t="s">
        <v>588</v>
      </c>
      <c r="B837" s="3">
        <v>2</v>
      </c>
      <c r="C837" s="3">
        <v>4.8000000000000007</v>
      </c>
      <c r="D837" s="1" t="str">
        <f t="shared" si="13"/>
        <v>10 mildən çox sifarişə 20 faiz endirim</v>
      </c>
    </row>
    <row r="838" spans="1:4" x14ac:dyDescent="0.3">
      <c r="A838" s="1" t="s">
        <v>109</v>
      </c>
      <c r="B838" s="3">
        <v>1.5</v>
      </c>
      <c r="C838" s="3">
        <v>8.8249999999999993</v>
      </c>
      <c r="D838" s="1" t="str">
        <f t="shared" si="13"/>
        <v>tətbiq edilmir</v>
      </c>
    </row>
    <row r="839" spans="1:4" x14ac:dyDescent="0.3">
      <c r="A839" s="1" t="s">
        <v>862</v>
      </c>
      <c r="B839" s="3">
        <v>1</v>
      </c>
      <c r="C839" s="3">
        <v>0.2</v>
      </c>
      <c r="D839" s="1" t="str">
        <f t="shared" si="13"/>
        <v>10 mildən çox sifarişə 30 faiz endirim</v>
      </c>
    </row>
    <row r="840" spans="1:4" x14ac:dyDescent="0.3">
      <c r="A840" s="1" t="s">
        <v>313</v>
      </c>
      <c r="B840" s="3">
        <v>1.25</v>
      </c>
      <c r="C840" s="3">
        <v>2.2000000000000002</v>
      </c>
      <c r="D840" s="1" t="str">
        <f t="shared" si="13"/>
        <v>10 mildən çox sifarişə 30 faiz endirim</v>
      </c>
    </row>
    <row r="841" spans="1:4" x14ac:dyDescent="0.3">
      <c r="A841" s="1" t="s">
        <v>511</v>
      </c>
      <c r="B841" s="3">
        <v>1.3333333333333333</v>
      </c>
      <c r="C841" s="3">
        <v>14.5</v>
      </c>
      <c r="D841" s="1" t="str">
        <f t="shared" si="13"/>
        <v>tətbiq edilmir</v>
      </c>
    </row>
    <row r="842" spans="1:4" x14ac:dyDescent="0.3">
      <c r="A842" s="1" t="s">
        <v>423</v>
      </c>
      <c r="B842" s="3">
        <v>2</v>
      </c>
      <c r="C842" s="3">
        <v>21.133333333333336</v>
      </c>
      <c r="D842" s="1" t="str">
        <f t="shared" si="13"/>
        <v>10 mildən çox sifarişə 20 faiz endirim</v>
      </c>
    </row>
    <row r="843" spans="1:4" x14ac:dyDescent="0.3">
      <c r="A843" s="1" t="s">
        <v>736</v>
      </c>
      <c r="B843" s="3">
        <v>1</v>
      </c>
      <c r="C843" s="3">
        <v>2.6999999999999997</v>
      </c>
      <c r="D843" s="1" t="str">
        <f t="shared" si="13"/>
        <v>10 mildən çox sifarişə 30 faiz endirim</v>
      </c>
    </row>
    <row r="844" spans="1:4" x14ac:dyDescent="0.3">
      <c r="A844" s="1" t="s">
        <v>851</v>
      </c>
      <c r="B844" s="3">
        <v>1</v>
      </c>
      <c r="C844" s="3">
        <v>4.7</v>
      </c>
      <c r="D844" s="1" t="str">
        <f t="shared" si="13"/>
        <v>10 mildən çox sifarişə 30 faiz endirim</v>
      </c>
    </row>
    <row r="845" spans="1:4" x14ac:dyDescent="0.3">
      <c r="A845" s="1" t="s">
        <v>203</v>
      </c>
      <c r="B845" s="3">
        <v>1.75</v>
      </c>
      <c r="C845" s="3">
        <v>10.5</v>
      </c>
      <c r="D845" s="1" t="str">
        <f t="shared" si="13"/>
        <v>10 mildən çox sifarişə 20 faiz endirim</v>
      </c>
    </row>
    <row r="846" spans="1:4" x14ac:dyDescent="0.3">
      <c r="A846" s="1" t="s">
        <v>204</v>
      </c>
      <c r="B846" s="3">
        <v>1</v>
      </c>
      <c r="C846" s="3">
        <v>2.3250000000000002</v>
      </c>
      <c r="D846" s="1" t="str">
        <f t="shared" si="13"/>
        <v>10 mildən çox sifarişə 30 faiz endirim</v>
      </c>
    </row>
    <row r="847" spans="1:4" x14ac:dyDescent="0.3">
      <c r="A847" s="1" t="s">
        <v>791</v>
      </c>
      <c r="B847" s="3">
        <v>2</v>
      </c>
      <c r="C847" s="3">
        <v>4.7666666666666666</v>
      </c>
      <c r="D847" s="1" t="str">
        <f t="shared" si="13"/>
        <v>10 mildən çox sifarişə 20 faiz endirim</v>
      </c>
    </row>
    <row r="848" spans="1:4" x14ac:dyDescent="0.3">
      <c r="A848" s="1" t="s">
        <v>777</v>
      </c>
      <c r="B848" s="3">
        <v>1.6666666666666667</v>
      </c>
      <c r="C848" s="3">
        <v>11.666666666666666</v>
      </c>
      <c r="D848" s="1" t="str">
        <f t="shared" si="13"/>
        <v>10 mildən çox sifarişə 20 faiz endirim</v>
      </c>
    </row>
    <row r="849" spans="1:4" x14ac:dyDescent="0.3">
      <c r="A849" s="1" t="s">
        <v>512</v>
      </c>
      <c r="B849" s="3">
        <v>1.75</v>
      </c>
      <c r="C849" s="3">
        <v>3.8749999999999996</v>
      </c>
      <c r="D849" s="1" t="str">
        <f t="shared" si="13"/>
        <v>10 mildən çox sifarişə 20 faiz endirim</v>
      </c>
    </row>
    <row r="850" spans="1:4" x14ac:dyDescent="0.3">
      <c r="A850" s="1" t="s">
        <v>314</v>
      </c>
      <c r="B850" s="3">
        <v>1</v>
      </c>
      <c r="C850" s="3">
        <v>3.4</v>
      </c>
      <c r="D850" s="1" t="str">
        <f t="shared" si="13"/>
        <v>10 mildən çox sifarişə 30 faiz endirim</v>
      </c>
    </row>
    <row r="851" spans="1:4" x14ac:dyDescent="0.3">
      <c r="A851" s="1" t="s">
        <v>205</v>
      </c>
      <c r="B851" s="3">
        <v>1.6666666666666667</v>
      </c>
      <c r="C851" s="3">
        <v>9.9333333333333336</v>
      </c>
      <c r="D851" s="1" t="str">
        <f t="shared" si="13"/>
        <v>10 mildən çox sifarişə 20 faiz endirim</v>
      </c>
    </row>
    <row r="852" spans="1:4" x14ac:dyDescent="0.3">
      <c r="A852" s="1" t="s">
        <v>376</v>
      </c>
      <c r="B852" s="3">
        <v>1.6666666666666667</v>
      </c>
      <c r="C852" s="3">
        <v>8.8666666666666671</v>
      </c>
      <c r="D852" s="1" t="str">
        <f t="shared" si="13"/>
        <v>10 mildən çox sifarişə 20 faiz endirim</v>
      </c>
    </row>
    <row r="853" spans="1:4" x14ac:dyDescent="0.3">
      <c r="A853" s="1" t="s">
        <v>737</v>
      </c>
      <c r="B853" s="3">
        <v>1</v>
      </c>
      <c r="C853" s="3">
        <v>1.4666666666666668</v>
      </c>
      <c r="D853" s="1" t="str">
        <f t="shared" si="13"/>
        <v>10 mildən çox sifarişə 30 faiz endirim</v>
      </c>
    </row>
    <row r="854" spans="1:4" x14ac:dyDescent="0.3">
      <c r="A854" s="1" t="s">
        <v>906</v>
      </c>
      <c r="B854" s="3">
        <v>1.6</v>
      </c>
      <c r="C854" s="3">
        <v>12.020000000000001</v>
      </c>
      <c r="D854" s="1" t="str">
        <f t="shared" si="13"/>
        <v>10 mildən çox sifarişə 20 faiz endirim</v>
      </c>
    </row>
    <row r="855" spans="1:4" x14ac:dyDescent="0.3">
      <c r="A855" s="1" t="s">
        <v>257</v>
      </c>
      <c r="B855" s="3">
        <v>1.2</v>
      </c>
      <c r="C855" s="3">
        <v>6.5400000000000009</v>
      </c>
      <c r="D855" s="1" t="str">
        <f t="shared" si="13"/>
        <v>10 mildən çox sifarişə 30 faiz endirim</v>
      </c>
    </row>
    <row r="856" spans="1:4" x14ac:dyDescent="0.3">
      <c r="A856" s="1" t="s">
        <v>513</v>
      </c>
      <c r="B856" s="3">
        <v>1.3333333333333333</v>
      </c>
      <c r="C856" s="3">
        <v>1.7</v>
      </c>
      <c r="D856" s="1" t="str">
        <f t="shared" si="13"/>
        <v>10 mildən çox sifarişə 30 faiz endirim</v>
      </c>
    </row>
    <row r="857" spans="1:4" x14ac:dyDescent="0.3">
      <c r="A857" s="1" t="s">
        <v>757</v>
      </c>
      <c r="B857" s="3">
        <v>1.4</v>
      </c>
      <c r="C857" s="3">
        <v>5.94</v>
      </c>
      <c r="D857" s="1" t="str">
        <f t="shared" si="13"/>
        <v>10 mildən çox sifarişə 30 faiz endirim</v>
      </c>
    </row>
    <row r="858" spans="1:4" x14ac:dyDescent="0.3">
      <c r="A858" s="1" t="s">
        <v>907</v>
      </c>
      <c r="B858" s="3">
        <v>2</v>
      </c>
      <c r="C858" s="3">
        <v>9.6</v>
      </c>
      <c r="D858" s="1" t="str">
        <f t="shared" si="13"/>
        <v>10 mildən çox sifarişə 20 faiz endirim</v>
      </c>
    </row>
    <row r="859" spans="1:4" x14ac:dyDescent="0.3">
      <c r="A859" s="1" t="s">
        <v>852</v>
      </c>
      <c r="B859" s="3">
        <v>1</v>
      </c>
      <c r="C859" s="3">
        <v>2.1</v>
      </c>
      <c r="D859" s="1" t="str">
        <f t="shared" si="13"/>
        <v>10 mildən çox sifarişə 30 faiz endirim</v>
      </c>
    </row>
    <row r="860" spans="1:4" x14ac:dyDescent="0.3">
      <c r="A860" s="1" t="s">
        <v>315</v>
      </c>
      <c r="B860" s="3">
        <v>1.5</v>
      </c>
      <c r="C860" s="3">
        <v>7.25</v>
      </c>
      <c r="D860" s="1" t="str">
        <f t="shared" si="13"/>
        <v>tətbiq edilmir</v>
      </c>
    </row>
    <row r="861" spans="1:4" x14ac:dyDescent="0.3">
      <c r="A861" s="1" t="s">
        <v>377</v>
      </c>
      <c r="B861" s="3">
        <v>1.5</v>
      </c>
      <c r="C861" s="3">
        <v>9.0749999999999993</v>
      </c>
      <c r="D861" s="1" t="str">
        <f t="shared" si="13"/>
        <v>tətbiq edilmir</v>
      </c>
    </row>
    <row r="862" spans="1:4" x14ac:dyDescent="0.3">
      <c r="A862" s="1" t="s">
        <v>716</v>
      </c>
      <c r="B862" s="3">
        <v>1</v>
      </c>
      <c r="C862" s="3">
        <v>3.1666666666666665</v>
      </c>
      <c r="D862" s="1" t="str">
        <f t="shared" si="13"/>
        <v>10 mildən çox sifarişə 30 faiz endirim</v>
      </c>
    </row>
    <row r="863" spans="1:4" x14ac:dyDescent="0.3">
      <c r="A863" s="1" t="s">
        <v>206</v>
      </c>
      <c r="B863" s="3">
        <v>1.75</v>
      </c>
      <c r="C863" s="3">
        <v>8.1749999999999989</v>
      </c>
      <c r="D863" s="1" t="str">
        <f t="shared" si="13"/>
        <v>10 mildən çox sifarişə 20 faiz endirim</v>
      </c>
    </row>
    <row r="864" spans="1:4" x14ac:dyDescent="0.3">
      <c r="A864" s="1" t="s">
        <v>853</v>
      </c>
      <c r="B864" s="3">
        <v>1.25</v>
      </c>
      <c r="C864" s="3">
        <v>5.6000000000000005</v>
      </c>
      <c r="D864" s="1" t="str">
        <f t="shared" si="13"/>
        <v>10 mildən çox sifarişə 30 faiz endirim</v>
      </c>
    </row>
    <row r="865" spans="1:4" x14ac:dyDescent="0.3">
      <c r="A865" s="1" t="s">
        <v>378</v>
      </c>
      <c r="B865" s="3">
        <v>1.2</v>
      </c>
      <c r="C865" s="3">
        <v>5.54</v>
      </c>
      <c r="D865" s="1" t="str">
        <f t="shared" si="13"/>
        <v>10 mildən çox sifarişə 30 faiz endirim</v>
      </c>
    </row>
    <row r="866" spans="1:4" x14ac:dyDescent="0.3">
      <c r="A866" s="1" t="s">
        <v>316</v>
      </c>
      <c r="B866" s="3">
        <v>1.4</v>
      </c>
      <c r="C866" s="3">
        <v>2.9200000000000004</v>
      </c>
      <c r="D866" s="1" t="str">
        <f t="shared" si="13"/>
        <v>10 mildən çox sifarişə 30 faiz endirim</v>
      </c>
    </row>
    <row r="867" spans="1:4" x14ac:dyDescent="0.3">
      <c r="A867" s="1" t="s">
        <v>651</v>
      </c>
      <c r="B867" s="3">
        <v>1.6666666666666667</v>
      </c>
      <c r="C867" s="3">
        <v>4.0333333333333341</v>
      </c>
      <c r="D867" s="1" t="str">
        <f t="shared" si="13"/>
        <v>10 mildən çox sifarişə 20 faiz endirim</v>
      </c>
    </row>
    <row r="868" spans="1:4" x14ac:dyDescent="0.3">
      <c r="A868" s="1" t="s">
        <v>258</v>
      </c>
      <c r="B868" s="3">
        <v>1.2</v>
      </c>
      <c r="C868" s="3">
        <v>5.0400000000000009</v>
      </c>
      <c r="D868" s="1" t="str">
        <f t="shared" si="13"/>
        <v>10 mildən çox sifarişə 30 faiz endirim</v>
      </c>
    </row>
    <row r="869" spans="1:4" x14ac:dyDescent="0.3">
      <c r="A869" s="1" t="s">
        <v>424</v>
      </c>
      <c r="B869" s="3">
        <v>1.6666666666666667</v>
      </c>
      <c r="C869" s="3">
        <v>13.5</v>
      </c>
      <c r="D869" s="1" t="str">
        <f t="shared" si="13"/>
        <v>10 mildən çox sifarişə 20 faiz endirim</v>
      </c>
    </row>
    <row r="870" spans="1:4" x14ac:dyDescent="0.3">
      <c r="A870" s="1" t="s">
        <v>539</v>
      </c>
      <c r="B870" s="3">
        <v>1.5</v>
      </c>
      <c r="C870" s="3">
        <v>8.0250000000000004</v>
      </c>
      <c r="D870" s="1" t="str">
        <f t="shared" si="13"/>
        <v>tətbiq edilmir</v>
      </c>
    </row>
    <row r="871" spans="1:4" x14ac:dyDescent="0.3">
      <c r="A871" s="1" t="s">
        <v>207</v>
      </c>
      <c r="B871" s="3">
        <v>1.5</v>
      </c>
      <c r="C871" s="3">
        <v>7.6250000000000009</v>
      </c>
      <c r="D871" s="1" t="str">
        <f t="shared" si="13"/>
        <v>tətbiq edilmir</v>
      </c>
    </row>
    <row r="872" spans="1:4" x14ac:dyDescent="0.3">
      <c r="A872" s="1" t="s">
        <v>738</v>
      </c>
      <c r="B872" s="3">
        <v>1</v>
      </c>
      <c r="C872" s="3">
        <v>7.8400000000000007</v>
      </c>
      <c r="D872" s="1" t="str">
        <f t="shared" si="13"/>
        <v>tətbiq edilmir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100E7-66D2-4DA9-A2CB-68996C84D992}">
  <dimension ref="A1:X56"/>
  <sheetViews>
    <sheetView tabSelected="1" workbookViewId="0">
      <selection activeCell="A5" sqref="A5"/>
    </sheetView>
  </sheetViews>
  <sheetFormatPr defaultRowHeight="14.4" x14ac:dyDescent="0.3"/>
  <cols>
    <col min="1" max="1" width="15.5546875" bestFit="1" customWidth="1"/>
    <col min="2" max="2" width="3" bestFit="1" customWidth="1"/>
    <col min="3" max="3" width="4" bestFit="1" customWidth="1"/>
    <col min="4" max="7" width="3.6640625" bestFit="1" customWidth="1"/>
    <col min="8" max="8" width="4.6640625" bestFit="1" customWidth="1"/>
    <col min="9" max="11" width="6.6640625" bestFit="1" customWidth="1"/>
    <col min="12" max="12" width="7.33203125" bestFit="1" customWidth="1"/>
    <col min="13" max="13" width="5" bestFit="1" customWidth="1"/>
    <col min="14" max="14" width="4" bestFit="1" customWidth="1"/>
    <col min="15" max="16" width="6" bestFit="1" customWidth="1"/>
    <col min="17" max="17" width="3.6640625" bestFit="1" customWidth="1"/>
    <col min="18" max="18" width="4" bestFit="1" customWidth="1"/>
    <col min="19" max="19" width="4.6640625" bestFit="1" customWidth="1"/>
    <col min="20" max="55" width="6.6640625" bestFit="1" customWidth="1"/>
    <col min="56" max="60" width="4" bestFit="1" customWidth="1"/>
    <col min="61" max="61" width="2" bestFit="1" customWidth="1"/>
    <col min="62" max="70" width="4" bestFit="1" customWidth="1"/>
    <col min="71" max="71" width="2" bestFit="1" customWidth="1"/>
    <col min="72" max="80" width="4" bestFit="1" customWidth="1"/>
    <col min="81" max="81" width="2" bestFit="1" customWidth="1"/>
    <col min="82" max="90" width="4" bestFit="1" customWidth="1"/>
    <col min="91" max="91" width="2" bestFit="1" customWidth="1"/>
    <col min="92" max="100" width="4" bestFit="1" customWidth="1"/>
    <col min="101" max="101" width="3" bestFit="1" customWidth="1"/>
    <col min="102" max="110" width="5" bestFit="1" customWidth="1"/>
    <col min="111" max="111" width="3" bestFit="1" customWidth="1"/>
    <col min="112" max="129" width="5" bestFit="1" customWidth="1"/>
    <col min="130" max="130" width="3" bestFit="1" customWidth="1"/>
    <col min="131" max="138" width="5" bestFit="1" customWidth="1"/>
    <col min="139" max="139" width="3" bestFit="1" customWidth="1"/>
    <col min="140" max="148" width="5" bestFit="1" customWidth="1"/>
    <col min="149" max="149" width="3" bestFit="1" customWidth="1"/>
    <col min="150" max="156" width="5" bestFit="1" customWidth="1"/>
    <col min="157" max="157" width="3" bestFit="1" customWidth="1"/>
    <col min="158" max="166" width="5" bestFit="1" customWidth="1"/>
    <col min="167" max="167" width="3" bestFit="1" customWidth="1"/>
    <col min="168" max="176" width="5" bestFit="1" customWidth="1"/>
    <col min="177" max="177" width="3" bestFit="1" customWidth="1"/>
    <col min="178" max="195" width="5" bestFit="1" customWidth="1"/>
    <col min="196" max="196" width="3" bestFit="1" customWidth="1"/>
    <col min="197" max="220" width="5" bestFit="1" customWidth="1"/>
    <col min="221" max="221" width="6" bestFit="1" customWidth="1"/>
    <col min="222" max="222" width="10.77734375" bestFit="1" customWidth="1"/>
  </cols>
  <sheetData>
    <row r="1" spans="1:24" x14ac:dyDescent="0.3">
      <c r="A1" s="11" t="s">
        <v>62</v>
      </c>
      <c r="B1" s="1"/>
      <c r="C1" s="1"/>
      <c r="D1" s="1"/>
      <c r="E1" s="1"/>
      <c r="F1" s="1"/>
      <c r="G1" s="1"/>
      <c r="H1" s="1"/>
    </row>
    <row r="2" spans="1:24" x14ac:dyDescent="0.3">
      <c r="A2" s="1"/>
      <c r="B2" s="1" t="s">
        <v>945</v>
      </c>
      <c r="C2" s="1" t="s">
        <v>946</v>
      </c>
      <c r="D2" s="1" t="s">
        <v>947</v>
      </c>
      <c r="E2" s="1" t="s">
        <v>948</v>
      </c>
      <c r="F2" s="1" t="s">
        <v>949</v>
      </c>
      <c r="G2" s="1" t="s">
        <v>950</v>
      </c>
      <c r="H2" s="1" t="s">
        <v>951</v>
      </c>
      <c r="L2" s="12"/>
      <c r="M2" s="12" t="s">
        <v>945</v>
      </c>
      <c r="N2" s="12" t="s">
        <v>946</v>
      </c>
      <c r="O2" s="12" t="s">
        <v>947</v>
      </c>
      <c r="P2" s="12" t="s">
        <v>948</v>
      </c>
      <c r="Q2" s="12" t="s">
        <v>949</v>
      </c>
      <c r="R2" s="12" t="s">
        <v>950</v>
      </c>
      <c r="S2" s="12" t="s">
        <v>951</v>
      </c>
      <c r="T2" s="18"/>
      <c r="U2" s="18"/>
      <c r="V2" s="18"/>
      <c r="W2" s="18"/>
      <c r="X2" s="18"/>
    </row>
    <row r="3" spans="1:24" x14ac:dyDescent="0.3">
      <c r="A3" s="1" t="s">
        <v>0</v>
      </c>
      <c r="B3" s="15"/>
      <c r="C3" s="15">
        <v>4</v>
      </c>
      <c r="D3" s="15">
        <v>28</v>
      </c>
      <c r="E3" s="15">
        <v>6</v>
      </c>
      <c r="F3" s="15">
        <v>6</v>
      </c>
      <c r="G3" s="15">
        <v>1</v>
      </c>
      <c r="H3" s="15">
        <v>2</v>
      </c>
      <c r="L3" s="1" t="s">
        <v>952</v>
      </c>
      <c r="M3" s="1">
        <f>_xlfn.QUARTILE.EXC(B3:B56,1)</f>
        <v>11.5</v>
      </c>
      <c r="N3" s="1">
        <f t="shared" ref="N3:S3" si="0">_xlfn.QUARTILE.EXC(C3:C56,1)</f>
        <v>4</v>
      </c>
      <c r="O3" s="1">
        <f t="shared" si="0"/>
        <v>23.75</v>
      </c>
      <c r="P3" s="1">
        <f t="shared" si="0"/>
        <v>9</v>
      </c>
      <c r="Q3" s="1">
        <f t="shared" si="0"/>
        <v>5</v>
      </c>
      <c r="R3" s="1">
        <f t="shared" si="0"/>
        <v>2</v>
      </c>
      <c r="S3" s="1">
        <f t="shared" si="0"/>
        <v>2</v>
      </c>
      <c r="T3" s="18"/>
      <c r="U3" s="19"/>
      <c r="V3" s="19"/>
      <c r="W3" s="19"/>
      <c r="X3" s="19"/>
    </row>
    <row r="4" spans="1:24" x14ac:dyDescent="0.3">
      <c r="A4" s="1" t="s">
        <v>1</v>
      </c>
      <c r="B4" s="15">
        <v>23</v>
      </c>
      <c r="C4" s="15">
        <v>4</v>
      </c>
      <c r="D4" s="15">
        <v>47</v>
      </c>
      <c r="E4" s="15">
        <v>18</v>
      </c>
      <c r="F4" s="15">
        <v>6</v>
      </c>
      <c r="G4" s="15">
        <v>7</v>
      </c>
      <c r="H4" s="15">
        <v>3</v>
      </c>
      <c r="L4" s="1" t="s">
        <v>953</v>
      </c>
      <c r="M4" s="1">
        <f>_xlfn.QUARTILE.EXC(B3:B56,3)</f>
        <v>20</v>
      </c>
      <c r="N4" s="1">
        <f t="shared" ref="N4:S4" si="1">_xlfn.QUARTILE.EXC(C3:C56,3)</f>
        <v>8</v>
      </c>
      <c r="O4" s="1">
        <f t="shared" si="1"/>
        <v>42.25</v>
      </c>
      <c r="P4" s="1">
        <f t="shared" si="1"/>
        <v>17.25</v>
      </c>
      <c r="Q4" s="1">
        <f t="shared" si="1"/>
        <v>9</v>
      </c>
      <c r="R4" s="1">
        <f t="shared" si="1"/>
        <v>6.5</v>
      </c>
      <c r="S4" s="1">
        <f t="shared" si="1"/>
        <v>4</v>
      </c>
      <c r="T4" s="18"/>
      <c r="U4" s="19"/>
      <c r="V4" s="18"/>
      <c r="W4" s="18"/>
      <c r="X4" s="19"/>
    </row>
    <row r="5" spans="1:24" x14ac:dyDescent="0.3">
      <c r="A5" s="1" t="s">
        <v>2</v>
      </c>
      <c r="B5" s="15">
        <v>8</v>
      </c>
      <c r="C5" s="15">
        <v>6</v>
      </c>
      <c r="D5" s="15">
        <v>22</v>
      </c>
      <c r="E5" s="15">
        <v>13</v>
      </c>
      <c r="F5" s="15">
        <v>9</v>
      </c>
      <c r="G5" s="15">
        <v>3</v>
      </c>
      <c r="H5" s="15">
        <v>2</v>
      </c>
      <c r="L5" s="1" t="s">
        <v>954</v>
      </c>
      <c r="M5" s="1">
        <f>M4-M3</f>
        <v>8.5</v>
      </c>
      <c r="N5" s="1">
        <f t="shared" ref="N5:S5" si="2">N4-N3</f>
        <v>4</v>
      </c>
      <c r="O5" s="1">
        <f t="shared" si="2"/>
        <v>18.5</v>
      </c>
      <c r="P5" s="1">
        <f t="shared" si="2"/>
        <v>8.25</v>
      </c>
      <c r="Q5" s="1">
        <f t="shared" si="2"/>
        <v>4</v>
      </c>
      <c r="R5" s="1">
        <f t="shared" si="2"/>
        <v>4.5</v>
      </c>
      <c r="S5" s="1">
        <f t="shared" si="2"/>
        <v>2</v>
      </c>
      <c r="T5" s="18"/>
      <c r="U5" s="19"/>
      <c r="V5" s="18"/>
      <c r="W5" s="18"/>
      <c r="X5" s="19"/>
    </row>
    <row r="6" spans="1:24" x14ac:dyDescent="0.3">
      <c r="A6" s="1" t="s">
        <v>3</v>
      </c>
      <c r="B6" s="15">
        <v>12</v>
      </c>
      <c r="C6" s="15">
        <v>7</v>
      </c>
      <c r="D6" s="15">
        <v>36</v>
      </c>
      <c r="E6" s="15">
        <v>11</v>
      </c>
      <c r="F6" s="15">
        <v>8</v>
      </c>
      <c r="G6" s="15">
        <v>3</v>
      </c>
      <c r="H6" s="15">
        <v>3</v>
      </c>
      <c r="L6" s="17" t="s">
        <v>955</v>
      </c>
      <c r="M6" s="1">
        <f>M3-1.5*M5</f>
        <v>-1.25</v>
      </c>
      <c r="N6" s="1">
        <f t="shared" ref="N6:S6" si="3">N3-1.5*N5</f>
        <v>-2</v>
      </c>
      <c r="O6" s="1">
        <f t="shared" si="3"/>
        <v>-4</v>
      </c>
      <c r="P6" s="1">
        <f t="shared" si="3"/>
        <v>-3.375</v>
      </c>
      <c r="Q6" s="1">
        <f t="shared" si="3"/>
        <v>-1</v>
      </c>
      <c r="R6" s="1">
        <f t="shared" si="3"/>
        <v>-4.75</v>
      </c>
      <c r="S6" s="1">
        <f t="shared" si="3"/>
        <v>-1</v>
      </c>
      <c r="T6" s="18"/>
      <c r="U6" s="19"/>
      <c r="V6" s="18"/>
      <c r="W6" s="18"/>
      <c r="X6" s="19"/>
    </row>
    <row r="7" spans="1:24" x14ac:dyDescent="0.3">
      <c r="A7" s="1" t="s">
        <v>4</v>
      </c>
      <c r="B7" s="15">
        <v>18</v>
      </c>
      <c r="C7" s="15">
        <v>3</v>
      </c>
      <c r="D7" s="15">
        <v>36</v>
      </c>
      <c r="E7" s="15">
        <v>20</v>
      </c>
      <c r="F7" s="15">
        <v>10</v>
      </c>
      <c r="G7" s="15">
        <v>5</v>
      </c>
      <c r="H7" s="15">
        <v>2</v>
      </c>
      <c r="L7" s="17"/>
      <c r="M7" s="1">
        <f>M4+1.5*M5</f>
        <v>32.75</v>
      </c>
      <c r="N7" s="1">
        <f t="shared" ref="N7:S7" si="4">N4+1.5*N5</f>
        <v>14</v>
      </c>
      <c r="O7" s="1">
        <f t="shared" si="4"/>
        <v>70</v>
      </c>
      <c r="P7" s="1">
        <f t="shared" si="4"/>
        <v>29.625</v>
      </c>
      <c r="Q7" s="1">
        <f t="shared" si="4"/>
        <v>15</v>
      </c>
      <c r="R7" s="1">
        <f t="shared" si="4"/>
        <v>13.25</v>
      </c>
      <c r="S7" s="1">
        <f t="shared" si="4"/>
        <v>7</v>
      </c>
      <c r="T7" s="18"/>
      <c r="U7" s="19"/>
      <c r="V7" s="18"/>
      <c r="W7" s="18"/>
      <c r="X7" s="19"/>
    </row>
    <row r="8" spans="1:24" x14ac:dyDescent="0.3">
      <c r="A8" s="1" t="s">
        <v>5</v>
      </c>
      <c r="B8" s="15">
        <v>15</v>
      </c>
      <c r="C8" s="15">
        <v>8</v>
      </c>
      <c r="D8" s="15">
        <v>21</v>
      </c>
      <c r="E8" s="15">
        <v>11</v>
      </c>
      <c r="F8" s="15">
        <v>6</v>
      </c>
      <c r="G8" s="15">
        <v>1</v>
      </c>
      <c r="H8" s="15">
        <v>4</v>
      </c>
      <c r="T8" s="18"/>
      <c r="U8" s="19"/>
      <c r="V8" s="18"/>
      <c r="W8" s="18"/>
      <c r="X8" s="19"/>
    </row>
    <row r="9" spans="1:24" x14ac:dyDescent="0.3">
      <c r="A9" s="1" t="s">
        <v>6</v>
      </c>
      <c r="B9" s="15">
        <v>24</v>
      </c>
      <c r="C9" s="15">
        <v>10</v>
      </c>
      <c r="D9" s="15">
        <v>34</v>
      </c>
      <c r="E9" s="15">
        <v>15</v>
      </c>
      <c r="F9" s="15">
        <v>9</v>
      </c>
      <c r="G9" s="15">
        <v>5</v>
      </c>
      <c r="H9" s="15">
        <v>6</v>
      </c>
      <c r="T9" s="18"/>
      <c r="U9" s="19"/>
      <c r="V9" s="18"/>
      <c r="W9" s="18"/>
      <c r="X9" s="19"/>
    </row>
    <row r="10" spans="1:24" x14ac:dyDescent="0.3">
      <c r="A10" s="1" t="s">
        <v>7</v>
      </c>
      <c r="B10" s="15">
        <v>17</v>
      </c>
      <c r="C10" s="15">
        <v>8</v>
      </c>
      <c r="D10" s="15">
        <v>34</v>
      </c>
      <c r="E10" s="15">
        <v>14</v>
      </c>
      <c r="F10" s="15">
        <v>6</v>
      </c>
      <c r="G10" s="15">
        <v>8</v>
      </c>
      <c r="H10" s="15">
        <v>3</v>
      </c>
      <c r="T10" s="18"/>
      <c r="U10" s="19"/>
      <c r="V10" s="18"/>
      <c r="W10" s="18"/>
      <c r="X10" s="19"/>
    </row>
    <row r="11" spans="1:24" x14ac:dyDescent="0.3">
      <c r="A11" s="1" t="s">
        <v>8</v>
      </c>
      <c r="B11" s="15">
        <v>6</v>
      </c>
      <c r="C11" s="15">
        <v>2</v>
      </c>
      <c r="D11" s="15">
        <v>22</v>
      </c>
      <c r="E11" s="15">
        <v>11</v>
      </c>
      <c r="F11" s="15">
        <v>8</v>
      </c>
      <c r="G11" s="15">
        <v>1</v>
      </c>
      <c r="H11" s="15">
        <v>1</v>
      </c>
      <c r="T11" s="18"/>
      <c r="U11" s="19"/>
      <c r="V11" s="18"/>
      <c r="W11" s="18"/>
      <c r="X11" s="19"/>
    </row>
    <row r="12" spans="1:24" x14ac:dyDescent="0.3">
      <c r="A12" s="1" t="s">
        <v>9</v>
      </c>
      <c r="B12" s="15">
        <v>20</v>
      </c>
      <c r="C12" s="15">
        <v>10</v>
      </c>
      <c r="D12" s="15">
        <v>41</v>
      </c>
      <c r="E12" s="15">
        <v>14</v>
      </c>
      <c r="F12" s="15">
        <v>12</v>
      </c>
      <c r="G12" s="15">
        <v>5</v>
      </c>
      <c r="H12" s="15"/>
      <c r="T12" s="18"/>
      <c r="U12" s="19"/>
      <c r="V12" s="18"/>
      <c r="W12" s="18"/>
      <c r="X12" s="19"/>
    </row>
    <row r="13" spans="1:24" x14ac:dyDescent="0.3">
      <c r="A13" s="1" t="s">
        <v>10</v>
      </c>
      <c r="B13" s="15">
        <v>10</v>
      </c>
      <c r="C13" s="15">
        <v>6</v>
      </c>
      <c r="D13" s="15">
        <v>19</v>
      </c>
      <c r="E13" s="15">
        <v>8</v>
      </c>
      <c r="F13" s="15">
        <v>5</v>
      </c>
      <c r="G13" s="15">
        <v>1</v>
      </c>
      <c r="H13" s="15">
        <v>2</v>
      </c>
      <c r="T13" s="18"/>
      <c r="U13" s="19"/>
      <c r="V13" s="18"/>
      <c r="W13" s="18"/>
      <c r="X13" s="19"/>
    </row>
    <row r="14" spans="1:24" x14ac:dyDescent="0.3">
      <c r="A14" s="1" t="s">
        <v>11</v>
      </c>
      <c r="B14" s="15">
        <v>43</v>
      </c>
      <c r="C14" s="15">
        <v>6</v>
      </c>
      <c r="D14" s="15">
        <v>38</v>
      </c>
      <c r="E14" s="15">
        <v>16</v>
      </c>
      <c r="F14" s="15">
        <v>6</v>
      </c>
      <c r="G14" s="15">
        <v>2</v>
      </c>
      <c r="H14" s="15">
        <v>1</v>
      </c>
      <c r="T14" s="18"/>
      <c r="U14" s="19"/>
      <c r="V14" s="18"/>
      <c r="W14" s="18"/>
      <c r="X14" s="19"/>
    </row>
    <row r="15" spans="1:24" x14ac:dyDescent="0.3">
      <c r="A15" s="1" t="s">
        <v>12</v>
      </c>
      <c r="B15" s="15">
        <v>16</v>
      </c>
      <c r="C15" s="15">
        <v>5</v>
      </c>
      <c r="D15" s="15">
        <v>45</v>
      </c>
      <c r="E15" s="15">
        <v>26</v>
      </c>
      <c r="F15" s="15">
        <v>6</v>
      </c>
      <c r="G15" s="15">
        <v>5</v>
      </c>
      <c r="H15" s="15">
        <v>1</v>
      </c>
      <c r="T15" s="18"/>
      <c r="U15" s="19"/>
      <c r="V15" s="18"/>
      <c r="W15" s="18"/>
      <c r="X15" s="19"/>
    </row>
    <row r="16" spans="1:24" x14ac:dyDescent="0.3">
      <c r="A16" s="1" t="s">
        <v>13</v>
      </c>
      <c r="B16" s="15">
        <v>10</v>
      </c>
      <c r="C16" s="15">
        <v>7</v>
      </c>
      <c r="D16" s="15">
        <v>15</v>
      </c>
      <c r="E16" s="15">
        <v>11</v>
      </c>
      <c r="F16" s="15">
        <v>4</v>
      </c>
      <c r="G16" s="15">
        <v>1</v>
      </c>
      <c r="H16" s="15">
        <v>3</v>
      </c>
      <c r="T16" s="18"/>
      <c r="U16" s="19"/>
      <c r="V16" s="18"/>
      <c r="W16" s="18"/>
      <c r="X16" s="19"/>
    </row>
    <row r="17" spans="1:24" x14ac:dyDescent="0.3">
      <c r="A17" s="1" t="s">
        <v>14</v>
      </c>
      <c r="B17" s="15">
        <v>15</v>
      </c>
      <c r="C17" s="15">
        <v>3</v>
      </c>
      <c r="D17" s="15">
        <v>21</v>
      </c>
      <c r="E17" s="15">
        <v>5</v>
      </c>
      <c r="F17" s="15">
        <v>10</v>
      </c>
      <c r="G17" s="15">
        <v>8</v>
      </c>
      <c r="H17" s="15">
        <v>1</v>
      </c>
      <c r="T17" s="18"/>
      <c r="U17" s="19"/>
      <c r="V17" s="18"/>
      <c r="W17" s="18"/>
      <c r="X17" s="19"/>
    </row>
    <row r="18" spans="1:24" x14ac:dyDescent="0.3">
      <c r="A18" s="1" t="s">
        <v>15</v>
      </c>
      <c r="B18" s="15">
        <v>16</v>
      </c>
      <c r="C18" s="15">
        <v>8</v>
      </c>
      <c r="D18" s="15">
        <v>45</v>
      </c>
      <c r="E18" s="15">
        <v>13</v>
      </c>
      <c r="F18" s="15">
        <v>11</v>
      </c>
      <c r="G18" s="15">
        <v>10</v>
      </c>
      <c r="H18" s="15">
        <v>2</v>
      </c>
      <c r="T18" s="18"/>
      <c r="U18" s="19"/>
      <c r="V18" s="18"/>
      <c r="W18" s="18"/>
      <c r="X18" s="19"/>
    </row>
    <row r="19" spans="1:24" x14ac:dyDescent="0.3">
      <c r="A19" s="1" t="s">
        <v>16</v>
      </c>
      <c r="B19" s="15">
        <v>12</v>
      </c>
      <c r="C19" s="15">
        <v>9</v>
      </c>
      <c r="D19" s="15">
        <v>38</v>
      </c>
      <c r="E19" s="15">
        <v>19</v>
      </c>
      <c r="F19" s="15">
        <v>14</v>
      </c>
      <c r="G19" s="15">
        <v>1</v>
      </c>
      <c r="H19" s="15">
        <v>4</v>
      </c>
      <c r="T19" s="18"/>
      <c r="U19" s="19"/>
      <c r="V19" s="18"/>
      <c r="W19" s="18"/>
      <c r="X19" s="19"/>
    </row>
    <row r="20" spans="1:24" x14ac:dyDescent="0.3">
      <c r="A20" s="1" t="s">
        <v>17</v>
      </c>
      <c r="B20" s="15">
        <v>21</v>
      </c>
      <c r="C20" s="15">
        <v>8</v>
      </c>
      <c r="D20" s="15">
        <v>29</v>
      </c>
      <c r="E20" s="15">
        <v>14</v>
      </c>
      <c r="F20" s="15">
        <v>4</v>
      </c>
      <c r="G20" s="15">
        <v>3</v>
      </c>
      <c r="H20" s="15">
        <v>4</v>
      </c>
      <c r="T20" s="18"/>
      <c r="U20" s="19"/>
      <c r="V20" s="18"/>
      <c r="W20" s="18"/>
      <c r="X20" s="19"/>
    </row>
    <row r="21" spans="1:24" x14ac:dyDescent="0.3">
      <c r="A21" s="1" t="s">
        <v>18</v>
      </c>
      <c r="B21" s="15">
        <v>10</v>
      </c>
      <c r="C21" s="15">
        <v>2</v>
      </c>
      <c r="D21" s="15">
        <v>23</v>
      </c>
      <c r="E21" s="15">
        <v>7</v>
      </c>
      <c r="F21" s="15">
        <v>4</v>
      </c>
      <c r="G21" s="15">
        <v>4</v>
      </c>
      <c r="H21" s="15">
        <v>4</v>
      </c>
      <c r="T21" s="18"/>
      <c r="U21" s="19"/>
      <c r="V21" s="18"/>
      <c r="W21" s="18"/>
      <c r="X21" s="19"/>
    </row>
    <row r="22" spans="1:24" x14ac:dyDescent="0.3">
      <c r="A22" s="1" t="s">
        <v>19</v>
      </c>
      <c r="B22" s="15">
        <v>22</v>
      </c>
      <c r="C22" s="15">
        <v>2</v>
      </c>
      <c r="D22" s="15">
        <v>35</v>
      </c>
      <c r="E22" s="15">
        <v>21</v>
      </c>
      <c r="F22" s="15">
        <v>10</v>
      </c>
      <c r="G22" s="15">
        <v>3</v>
      </c>
      <c r="H22" s="15">
        <v>3</v>
      </c>
      <c r="T22" s="18"/>
      <c r="U22" s="19"/>
      <c r="V22" s="18"/>
      <c r="W22" s="18"/>
      <c r="X22" s="19"/>
    </row>
    <row r="23" spans="1:24" x14ac:dyDescent="0.3">
      <c r="A23" s="1" t="s">
        <v>20</v>
      </c>
      <c r="B23" s="15">
        <v>21</v>
      </c>
      <c r="C23" s="15">
        <v>10</v>
      </c>
      <c r="D23" s="15">
        <v>38</v>
      </c>
      <c r="E23" s="15">
        <v>14</v>
      </c>
      <c r="F23" s="15">
        <v>8</v>
      </c>
      <c r="G23" s="15">
        <v>6</v>
      </c>
      <c r="H23" s="15">
        <v>7</v>
      </c>
      <c r="T23" s="18"/>
      <c r="U23" s="19"/>
      <c r="V23" s="18"/>
      <c r="W23" s="18"/>
      <c r="X23" s="19"/>
    </row>
    <row r="24" spans="1:24" x14ac:dyDescent="0.3">
      <c r="A24" s="1" t="s">
        <v>21</v>
      </c>
      <c r="B24" s="15">
        <v>11</v>
      </c>
      <c r="C24" s="15">
        <v>5</v>
      </c>
      <c r="D24" s="15">
        <v>47</v>
      </c>
      <c r="E24" s="15">
        <v>9</v>
      </c>
      <c r="F24" s="15">
        <v>12</v>
      </c>
      <c r="G24" s="15">
        <v>7</v>
      </c>
      <c r="H24" s="15">
        <v>1</v>
      </c>
      <c r="T24" s="18"/>
      <c r="U24" s="19"/>
      <c r="V24" s="18"/>
      <c r="W24" s="18"/>
      <c r="X24" s="19"/>
    </row>
    <row r="25" spans="1:24" x14ac:dyDescent="0.3">
      <c r="A25" s="1" t="s">
        <v>22</v>
      </c>
      <c r="B25" s="15">
        <v>8</v>
      </c>
      <c r="C25" s="15">
        <v>3</v>
      </c>
      <c r="D25" s="15">
        <v>21</v>
      </c>
      <c r="E25" s="15">
        <v>7</v>
      </c>
      <c r="F25" s="15">
        <v>2</v>
      </c>
      <c r="G25" s="15">
        <v>4</v>
      </c>
      <c r="H25" s="15">
        <v>2</v>
      </c>
    </row>
    <row r="26" spans="1:24" x14ac:dyDescent="0.3">
      <c r="A26" s="1" t="s">
        <v>23</v>
      </c>
      <c r="B26" s="15">
        <v>18</v>
      </c>
      <c r="C26" s="15">
        <v>6</v>
      </c>
      <c r="D26" s="15">
        <v>38</v>
      </c>
      <c r="E26" s="15">
        <v>17</v>
      </c>
      <c r="F26" s="15">
        <v>9</v>
      </c>
      <c r="G26" s="15">
        <v>2</v>
      </c>
      <c r="H26" s="15">
        <v>4</v>
      </c>
    </row>
    <row r="27" spans="1:24" x14ac:dyDescent="0.3">
      <c r="A27" s="1" t="s">
        <v>24</v>
      </c>
      <c r="B27" s="15">
        <v>25</v>
      </c>
      <c r="C27" s="15">
        <v>8</v>
      </c>
      <c r="D27" s="15">
        <v>45</v>
      </c>
      <c r="E27" s="15">
        <v>23</v>
      </c>
      <c r="F27" s="15">
        <v>9</v>
      </c>
      <c r="G27" s="15">
        <v>9</v>
      </c>
      <c r="H27" s="15">
        <v>7</v>
      </c>
    </row>
    <row r="28" spans="1:24" x14ac:dyDescent="0.3">
      <c r="A28" s="1" t="s">
        <v>25</v>
      </c>
      <c r="B28" s="15">
        <v>27</v>
      </c>
      <c r="C28" s="15">
        <v>6</v>
      </c>
      <c r="D28" s="15">
        <v>41</v>
      </c>
      <c r="E28" s="15">
        <v>15</v>
      </c>
      <c r="F28" s="15">
        <v>3</v>
      </c>
      <c r="G28" s="15">
        <v>8</v>
      </c>
      <c r="H28" s="15">
        <v>6</v>
      </c>
    </row>
    <row r="29" spans="1:24" x14ac:dyDescent="0.3">
      <c r="A29" s="1" t="s">
        <v>26</v>
      </c>
      <c r="B29" s="15">
        <v>14</v>
      </c>
      <c r="C29" s="15">
        <v>3</v>
      </c>
      <c r="D29" s="15">
        <v>34</v>
      </c>
      <c r="E29" s="15">
        <v>17</v>
      </c>
      <c r="F29" s="15">
        <v>8</v>
      </c>
      <c r="G29" s="15">
        <v>9</v>
      </c>
      <c r="H29" s="15">
        <v>5</v>
      </c>
    </row>
    <row r="30" spans="1:24" x14ac:dyDescent="0.3">
      <c r="A30" s="1" t="s">
        <v>27</v>
      </c>
      <c r="B30" s="15">
        <v>13</v>
      </c>
      <c r="C30" s="15">
        <v>6</v>
      </c>
      <c r="D30" s="15">
        <v>28</v>
      </c>
      <c r="E30" s="15">
        <v>12</v>
      </c>
      <c r="F30" s="15">
        <v>4</v>
      </c>
      <c r="G30" s="15">
        <v>6</v>
      </c>
      <c r="H30" s="15">
        <v>2</v>
      </c>
    </row>
    <row r="31" spans="1:24" x14ac:dyDescent="0.3">
      <c r="A31" s="1" t="s">
        <v>28</v>
      </c>
      <c r="B31" s="15">
        <v>17</v>
      </c>
      <c r="C31" s="15">
        <v>10</v>
      </c>
      <c r="D31" s="15">
        <v>43</v>
      </c>
      <c r="E31" s="15">
        <v>16</v>
      </c>
      <c r="F31" s="15">
        <v>9</v>
      </c>
      <c r="G31" s="15">
        <v>5</v>
      </c>
      <c r="H31" s="15">
        <v>4</v>
      </c>
    </row>
    <row r="32" spans="1:24" x14ac:dyDescent="0.3">
      <c r="A32" s="1" t="s">
        <v>29</v>
      </c>
      <c r="B32" s="15">
        <v>9</v>
      </c>
      <c r="C32" s="15"/>
      <c r="D32" s="15">
        <v>24</v>
      </c>
      <c r="E32" s="15">
        <v>9</v>
      </c>
      <c r="F32" s="15">
        <v>3</v>
      </c>
      <c r="G32" s="15">
        <v>2</v>
      </c>
      <c r="H32" s="15">
        <v>1</v>
      </c>
    </row>
    <row r="33" spans="1:8" x14ac:dyDescent="0.3">
      <c r="A33" s="1" t="s">
        <v>30</v>
      </c>
      <c r="B33" s="15">
        <v>20</v>
      </c>
      <c r="C33" s="15">
        <v>8</v>
      </c>
      <c r="D33" s="15">
        <v>42</v>
      </c>
      <c r="E33" s="15">
        <v>19</v>
      </c>
      <c r="F33" s="15">
        <v>7</v>
      </c>
      <c r="G33" s="15">
        <v>5</v>
      </c>
      <c r="H33" s="15">
        <v>2</v>
      </c>
    </row>
    <row r="34" spans="1:8" x14ac:dyDescent="0.3">
      <c r="A34" s="1" t="s">
        <v>31</v>
      </c>
      <c r="B34" s="15">
        <v>11</v>
      </c>
      <c r="C34" s="15">
        <v>10</v>
      </c>
      <c r="D34" s="15">
        <v>40</v>
      </c>
      <c r="E34" s="15">
        <v>21</v>
      </c>
      <c r="F34" s="15">
        <v>8</v>
      </c>
      <c r="G34" s="15">
        <v>5</v>
      </c>
      <c r="H34" s="15">
        <v>3</v>
      </c>
    </row>
    <row r="35" spans="1:8" x14ac:dyDescent="0.3">
      <c r="A35" s="1" t="s">
        <v>32</v>
      </c>
      <c r="B35" s="15">
        <v>17</v>
      </c>
      <c r="C35" s="15">
        <v>11</v>
      </c>
      <c r="D35" s="15">
        <v>46</v>
      </c>
      <c r="E35" s="15">
        <v>24</v>
      </c>
      <c r="F35" s="15">
        <v>10</v>
      </c>
      <c r="G35" s="15">
        <v>6</v>
      </c>
      <c r="H35" s="15">
        <v>7</v>
      </c>
    </row>
    <row r="36" spans="1:8" x14ac:dyDescent="0.3">
      <c r="A36" s="1" t="s">
        <v>33</v>
      </c>
      <c r="B36" s="15">
        <v>18</v>
      </c>
      <c r="C36" s="15">
        <v>9</v>
      </c>
      <c r="D36" s="15">
        <v>52</v>
      </c>
      <c r="E36" s="15">
        <v>9</v>
      </c>
      <c r="F36" s="15">
        <v>9</v>
      </c>
      <c r="G36" s="15">
        <v>9</v>
      </c>
      <c r="H36" s="15">
        <v>2</v>
      </c>
    </row>
    <row r="37" spans="1:8" x14ac:dyDescent="0.3">
      <c r="A37" s="1" t="s">
        <v>34</v>
      </c>
      <c r="B37" s="15">
        <v>20</v>
      </c>
      <c r="C37" s="15">
        <v>14</v>
      </c>
      <c r="D37" s="15">
        <v>26</v>
      </c>
      <c r="E37" s="15">
        <v>19</v>
      </c>
      <c r="F37" s="15">
        <v>9</v>
      </c>
      <c r="G37" s="15">
        <v>10</v>
      </c>
      <c r="H37" s="15">
        <v>5</v>
      </c>
    </row>
    <row r="38" spans="1:8" x14ac:dyDescent="0.3">
      <c r="A38" s="1" t="s">
        <v>35</v>
      </c>
      <c r="B38" s="15">
        <v>16</v>
      </c>
      <c r="C38" s="15">
        <v>6</v>
      </c>
      <c r="D38" s="15">
        <v>47</v>
      </c>
      <c r="E38" s="15">
        <v>10</v>
      </c>
      <c r="F38" s="15">
        <v>7</v>
      </c>
      <c r="G38" s="15">
        <v>6</v>
      </c>
      <c r="H38" s="15">
        <v>3</v>
      </c>
    </row>
    <row r="39" spans="1:8" x14ac:dyDescent="0.3">
      <c r="A39" s="1" t="s">
        <v>36</v>
      </c>
      <c r="B39" s="15">
        <v>23</v>
      </c>
      <c r="C39" s="15">
        <v>8</v>
      </c>
      <c r="D39" s="15">
        <v>41</v>
      </c>
      <c r="E39" s="15">
        <v>15</v>
      </c>
      <c r="F39" s="15">
        <v>12</v>
      </c>
      <c r="G39" s="15">
        <v>3</v>
      </c>
      <c r="H39" s="15">
        <v>2</v>
      </c>
    </row>
    <row r="40" spans="1:8" x14ac:dyDescent="0.3">
      <c r="A40" s="1" t="s">
        <v>37</v>
      </c>
      <c r="B40" s="15">
        <v>18</v>
      </c>
      <c r="C40" s="15">
        <v>8</v>
      </c>
      <c r="D40" s="15">
        <v>47</v>
      </c>
      <c r="E40" s="15">
        <v>17</v>
      </c>
      <c r="F40" s="15">
        <v>11</v>
      </c>
      <c r="G40" s="15">
        <v>5</v>
      </c>
      <c r="H40" s="15">
        <v>3</v>
      </c>
    </row>
    <row r="41" spans="1:8" x14ac:dyDescent="0.3">
      <c r="A41" s="1" t="s">
        <v>38</v>
      </c>
      <c r="B41" s="15">
        <v>13</v>
      </c>
      <c r="C41" s="15">
        <v>11</v>
      </c>
      <c r="D41" s="15">
        <v>41</v>
      </c>
      <c r="E41" s="15">
        <v>17</v>
      </c>
      <c r="F41" s="15">
        <v>11</v>
      </c>
      <c r="G41" s="15">
        <v>7</v>
      </c>
      <c r="H41" s="15">
        <v>3</v>
      </c>
    </row>
    <row r="42" spans="1:8" x14ac:dyDescent="0.3">
      <c r="A42" s="1" t="s">
        <v>39</v>
      </c>
      <c r="B42" s="15">
        <v>17</v>
      </c>
      <c r="C42" s="15">
        <v>8</v>
      </c>
      <c r="D42" s="15">
        <v>47</v>
      </c>
      <c r="E42" s="15">
        <v>19</v>
      </c>
      <c r="F42" s="15">
        <v>6</v>
      </c>
      <c r="G42" s="15">
        <v>4</v>
      </c>
      <c r="H42" s="15">
        <v>2</v>
      </c>
    </row>
    <row r="43" spans="1:8" x14ac:dyDescent="0.3">
      <c r="A43" s="1" t="s">
        <v>40</v>
      </c>
      <c r="B43" s="15">
        <v>14</v>
      </c>
      <c r="C43" s="15">
        <v>6</v>
      </c>
      <c r="D43" s="15">
        <v>22</v>
      </c>
      <c r="E43" s="15">
        <v>8</v>
      </c>
      <c r="F43" s="15">
        <v>5</v>
      </c>
      <c r="G43" s="15">
        <v>1</v>
      </c>
      <c r="H43" s="15">
        <v>4</v>
      </c>
    </row>
    <row r="44" spans="1:8" x14ac:dyDescent="0.3">
      <c r="A44" s="1" t="s">
        <v>41</v>
      </c>
      <c r="B44" s="15">
        <v>16</v>
      </c>
      <c r="C44" s="15">
        <v>6</v>
      </c>
      <c r="D44" s="15">
        <v>41</v>
      </c>
      <c r="E44" s="15">
        <v>18</v>
      </c>
      <c r="F44" s="15">
        <v>7</v>
      </c>
      <c r="G44" s="15">
        <v>8</v>
      </c>
      <c r="H44" s="15">
        <v>5</v>
      </c>
    </row>
    <row r="45" spans="1:8" x14ac:dyDescent="0.3">
      <c r="A45" s="1" t="s">
        <v>42</v>
      </c>
      <c r="B45" s="15">
        <v>8</v>
      </c>
      <c r="C45" s="15">
        <v>3</v>
      </c>
      <c r="D45" s="15">
        <v>25</v>
      </c>
      <c r="E45" s="15">
        <v>5</v>
      </c>
      <c r="F45" s="15">
        <v>3</v>
      </c>
      <c r="G45" s="15">
        <v>1</v>
      </c>
      <c r="H45" s="15">
        <v>1</v>
      </c>
    </row>
    <row r="46" spans="1:8" x14ac:dyDescent="0.3">
      <c r="A46" s="1" t="s">
        <v>43</v>
      </c>
      <c r="B46" s="15">
        <v>11</v>
      </c>
      <c r="C46" s="15">
        <v>3</v>
      </c>
      <c r="D46" s="15">
        <v>17</v>
      </c>
      <c r="E46" s="15">
        <v>8</v>
      </c>
      <c r="F46" s="15">
        <v>1</v>
      </c>
      <c r="G46" s="15">
        <v>2</v>
      </c>
      <c r="H46" s="15">
        <v>3</v>
      </c>
    </row>
    <row r="47" spans="1:8" x14ac:dyDescent="0.3">
      <c r="A47" s="1" t="s">
        <v>44</v>
      </c>
      <c r="B47" s="15">
        <v>7</v>
      </c>
      <c r="C47" s="15">
        <v>4</v>
      </c>
      <c r="D47" s="15">
        <v>26</v>
      </c>
      <c r="E47" s="15">
        <v>12</v>
      </c>
      <c r="F47" s="15">
        <v>3</v>
      </c>
      <c r="G47" s="15">
        <v>2</v>
      </c>
      <c r="H47" s="15">
        <v>1</v>
      </c>
    </row>
    <row r="48" spans="1:8" x14ac:dyDescent="0.3">
      <c r="A48" s="1" t="s">
        <v>45</v>
      </c>
      <c r="B48" s="15">
        <v>14</v>
      </c>
      <c r="C48" s="15">
        <v>4</v>
      </c>
      <c r="D48" s="15">
        <v>22</v>
      </c>
      <c r="E48" s="15">
        <v>3</v>
      </c>
      <c r="F48" s="15">
        <v>8</v>
      </c>
      <c r="G48" s="15">
        <v>2</v>
      </c>
      <c r="H48" s="15">
        <v>2</v>
      </c>
    </row>
    <row r="49" spans="1:8" x14ac:dyDescent="0.3">
      <c r="A49" s="1" t="s">
        <v>46</v>
      </c>
      <c r="B49" s="15">
        <v>15</v>
      </c>
      <c r="C49" s="15">
        <v>8</v>
      </c>
      <c r="D49" s="15">
        <v>45</v>
      </c>
      <c r="E49" s="15">
        <v>14</v>
      </c>
      <c r="F49" s="15">
        <v>8</v>
      </c>
      <c r="G49" s="15">
        <v>2</v>
      </c>
      <c r="H49" s="15">
        <v>4</v>
      </c>
    </row>
    <row r="50" spans="1:8" x14ac:dyDescent="0.3">
      <c r="A50" s="1" t="s">
        <v>47</v>
      </c>
      <c r="B50" s="15">
        <v>21</v>
      </c>
      <c r="C50" s="15">
        <v>13</v>
      </c>
      <c r="D50" s="15">
        <v>48</v>
      </c>
      <c r="E50" s="15">
        <v>21</v>
      </c>
      <c r="F50" s="15">
        <v>8</v>
      </c>
      <c r="G50" s="15">
        <v>7</v>
      </c>
      <c r="H50" s="15">
        <v>6</v>
      </c>
    </row>
    <row r="51" spans="1:8" x14ac:dyDescent="0.3">
      <c r="A51" s="1" t="s">
        <v>48</v>
      </c>
      <c r="B51" s="15">
        <v>15</v>
      </c>
      <c r="C51" s="15">
        <v>12</v>
      </c>
      <c r="D51" s="15">
        <v>34</v>
      </c>
      <c r="E51" s="15">
        <v>10</v>
      </c>
      <c r="F51" s="15">
        <v>4</v>
      </c>
      <c r="G51" s="15">
        <v>3</v>
      </c>
      <c r="H51" s="15">
        <v>5</v>
      </c>
    </row>
    <row r="52" spans="1:8" x14ac:dyDescent="0.3">
      <c r="A52" s="1" t="s">
        <v>49</v>
      </c>
      <c r="B52" s="15">
        <v>51</v>
      </c>
      <c r="C52" s="15">
        <v>4</v>
      </c>
      <c r="D52" s="15">
        <v>16</v>
      </c>
      <c r="E52" s="15">
        <v>14</v>
      </c>
      <c r="F52" s="15">
        <v>11</v>
      </c>
      <c r="G52" s="15">
        <v>3</v>
      </c>
      <c r="H52" s="15">
        <v>4</v>
      </c>
    </row>
    <row r="53" spans="1:8" x14ac:dyDescent="0.3">
      <c r="A53" s="1" t="s">
        <v>50</v>
      </c>
      <c r="B53" s="15">
        <v>13</v>
      </c>
      <c r="C53" s="15">
        <v>5</v>
      </c>
      <c r="D53" s="15">
        <v>29</v>
      </c>
      <c r="E53" s="15">
        <v>8</v>
      </c>
      <c r="F53" s="15">
        <v>1</v>
      </c>
      <c r="G53" s="15">
        <v>3</v>
      </c>
      <c r="H53" s="15"/>
    </row>
    <row r="54" spans="1:8" x14ac:dyDescent="0.3">
      <c r="A54" s="1" t="s">
        <v>51</v>
      </c>
      <c r="B54" s="15">
        <v>23</v>
      </c>
      <c r="C54" s="15">
        <v>7</v>
      </c>
      <c r="D54" s="15">
        <v>33</v>
      </c>
      <c r="E54" s="15">
        <v>16</v>
      </c>
      <c r="F54" s="15">
        <v>5</v>
      </c>
      <c r="G54" s="15">
        <v>6</v>
      </c>
      <c r="H54" s="15">
        <v>2</v>
      </c>
    </row>
    <row r="55" spans="1:8" x14ac:dyDescent="0.3">
      <c r="A55" s="1" t="s">
        <v>52</v>
      </c>
      <c r="B55" s="15">
        <v>12</v>
      </c>
      <c r="C55" s="15">
        <v>3</v>
      </c>
      <c r="D55" s="15">
        <v>14</v>
      </c>
      <c r="E55" s="15">
        <v>9</v>
      </c>
      <c r="F55" s="15">
        <v>5</v>
      </c>
      <c r="G55" s="15">
        <v>3</v>
      </c>
      <c r="H55" s="15">
        <v>4</v>
      </c>
    </row>
    <row r="56" spans="1:8" x14ac:dyDescent="0.3">
      <c r="A56" s="1" t="s">
        <v>53</v>
      </c>
      <c r="B56" s="15">
        <v>10</v>
      </c>
      <c r="C56" s="15">
        <v>3</v>
      </c>
      <c r="D56" s="15">
        <v>26</v>
      </c>
      <c r="E56" s="15">
        <v>4</v>
      </c>
      <c r="F56" s="15">
        <v>5</v>
      </c>
      <c r="G56" s="15"/>
      <c r="H56" s="15">
        <v>3</v>
      </c>
    </row>
  </sheetData>
  <mergeCells count="1">
    <mergeCell ref="L6:L7"/>
  </mergeCells>
  <conditionalFormatting pivot="1" sqref="B3:H56">
    <cfRule type="expression" dxfId="0" priority="1">
      <formula>B3&gt;M$7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FB6F3009-3437-480A-902F-57D7425BE1A3}">
  <ds:schemaRefs/>
</ds:datastoreItem>
</file>

<file path=customXml/itemProps2.xml><?xml version="1.0" encoding="utf-8"?>
<ds:datastoreItem xmlns:ds="http://schemas.openxmlformats.org/officeDocument/2006/customXml" ds:itemID="{91CC2AFB-5095-49A9-B5D6-7E8562590CEA}">
  <ds:schemaRefs/>
</ds:datastoreItem>
</file>

<file path=customXml/itemProps3.xml><?xml version="1.0" encoding="utf-8"?>
<ds:datastoreItem xmlns:ds="http://schemas.openxmlformats.org/officeDocument/2006/customXml" ds:itemID="{E83E2E87-E6FD-4C5B-9209-B4152352A76E}">
  <ds:schemaRefs/>
</ds:datastoreItem>
</file>

<file path=customXml/itemProps4.xml><?xml version="1.0" encoding="utf-8"?>
<ds:datastoreItem xmlns:ds="http://schemas.openxmlformats.org/officeDocument/2006/customXml" ds:itemID="{39E814FF-B539-44F6-A37D-877F9CE80A0F}">
  <ds:schemaRefs/>
</ds:datastoreItem>
</file>

<file path=customXml/itemProps5.xml><?xml version="1.0" encoding="utf-8"?>
<ds:datastoreItem xmlns:ds="http://schemas.openxmlformats.org/officeDocument/2006/customXml" ds:itemID="{DF51E6D0-3BF4-4DB0-A26E-31E9E92C079D}">
  <ds:schemaRefs/>
</ds:datastoreItem>
</file>

<file path=customXml/itemProps6.xml><?xml version="1.0" encoding="utf-8"?>
<ds:datastoreItem xmlns:ds="http://schemas.openxmlformats.org/officeDocument/2006/customXml" ds:itemID="{D3400EB4-879A-47E2-832D-7F20C8E99AEC}">
  <ds:schemaRefs/>
</ds:datastoreItem>
</file>

<file path=customXml/itemProps7.xml><?xml version="1.0" encoding="utf-8"?>
<ds:datastoreItem xmlns:ds="http://schemas.openxmlformats.org/officeDocument/2006/customXml" ds:itemID="{E9C4919A-47BC-4788-881B-A102B492BDE5}">
  <ds:schemaRefs/>
</ds:datastoreItem>
</file>

<file path=customXml/itemProps8.xml><?xml version="1.0" encoding="utf-8"?>
<ds:datastoreItem xmlns:ds="http://schemas.openxmlformats.org/officeDocument/2006/customXml" ds:itemID="{ADD4139F-0D9A-438B-8221-1F410BF67A9D}">
  <ds:schemaRefs/>
</ds:datastoreItem>
</file>

<file path=customXml/itemProps9.xml><?xml version="1.0" encoding="utf-8"?>
<ds:datastoreItem xmlns:ds="http://schemas.openxmlformats.org/officeDocument/2006/customXml" ds:itemID="{300C3E57-F702-4035-8239-D7A769005C7E}">
  <ds:schemaRefs/>
</ds:datastoreItem>
</file>

<file path=customXml/itemProps10.xml><?xml version="1.0" encoding="utf-8"?>
<ds:datastoreItem xmlns:ds="http://schemas.openxmlformats.org/officeDocument/2006/customXml" ds:itemID="{2101AA03-AABD-4E83-B396-B8417BF28F55}">
  <ds:schemaRefs/>
</ds:datastoreItem>
</file>

<file path=customXml/itemProps11.xml><?xml version="1.0" encoding="utf-8"?>
<ds:datastoreItem xmlns:ds="http://schemas.openxmlformats.org/officeDocument/2006/customXml" ds:itemID="{9945655E-0E5D-47EA-9AF4-354A95D5AE05}">
  <ds:schemaRefs/>
</ds:datastoreItem>
</file>

<file path=customXml/itemProps12.xml><?xml version="1.0" encoding="utf-8"?>
<ds:datastoreItem xmlns:ds="http://schemas.openxmlformats.org/officeDocument/2006/customXml" ds:itemID="{6E1CFDD0-B7B0-4605-A6F3-C0CC857CC76D}">
  <ds:schemaRefs/>
</ds:datastoreItem>
</file>

<file path=customXml/itemProps13.xml><?xml version="1.0" encoding="utf-8"?>
<ds:datastoreItem xmlns:ds="http://schemas.openxmlformats.org/officeDocument/2006/customXml" ds:itemID="{629BF09C-AE2C-45E2-826D-B46D57463DDE}">
  <ds:schemaRefs/>
</ds:datastoreItem>
</file>

<file path=customXml/itemProps14.xml><?xml version="1.0" encoding="utf-8"?>
<ds:datastoreItem xmlns:ds="http://schemas.openxmlformats.org/officeDocument/2006/customXml" ds:itemID="{69EB869F-0997-4406-BF5A-E62B95E02248}">
  <ds:schemaRefs/>
</ds:datastoreItem>
</file>

<file path=customXml/itemProps15.xml><?xml version="1.0" encoding="utf-8"?>
<ds:datastoreItem xmlns:ds="http://schemas.openxmlformats.org/officeDocument/2006/customXml" ds:itemID="{19E083CD-0550-4491-95FD-61A2AA32FCD9}">
  <ds:schemaRefs/>
</ds:datastoreItem>
</file>

<file path=customXml/itemProps16.xml><?xml version="1.0" encoding="utf-8"?>
<ds:datastoreItem xmlns:ds="http://schemas.openxmlformats.org/officeDocument/2006/customXml" ds:itemID="{B7568C5C-2DD4-478A-B22F-B9F74FE3450F}">
  <ds:schemaRefs/>
</ds:datastoreItem>
</file>

<file path=customXml/itemProps17.xml><?xml version="1.0" encoding="utf-8"?>
<ds:datastoreItem xmlns:ds="http://schemas.openxmlformats.org/officeDocument/2006/customXml" ds:itemID="{4194ECE5-C7E2-4554-9D6A-08CDF7BA7F3E}">
  <ds:schemaRefs/>
</ds:datastoreItem>
</file>

<file path=customXml/itemProps18.xml><?xml version="1.0" encoding="utf-8"?>
<ds:datastoreItem xmlns:ds="http://schemas.openxmlformats.org/officeDocument/2006/customXml" ds:itemID="{6AEF264F-AB27-48DE-8535-E702499D96C7}">
  <ds:schemaRefs/>
</ds:datastoreItem>
</file>

<file path=customXml/itemProps19.xml><?xml version="1.0" encoding="utf-8"?>
<ds:datastoreItem xmlns:ds="http://schemas.openxmlformats.org/officeDocument/2006/customXml" ds:itemID="{A18C8546-AF3C-490C-96E7-ED2DD9501D05}">
  <ds:schemaRefs/>
</ds:datastoreItem>
</file>

<file path=customXml/itemProps20.xml><?xml version="1.0" encoding="utf-8"?>
<ds:datastoreItem xmlns:ds="http://schemas.openxmlformats.org/officeDocument/2006/customXml" ds:itemID="{A4A90F7C-DF5D-4D1D-BB86-A718447EC300}">
  <ds:schemaRefs/>
</ds:datastoreItem>
</file>

<file path=customXml/itemProps21.xml><?xml version="1.0" encoding="utf-8"?>
<ds:datastoreItem xmlns:ds="http://schemas.openxmlformats.org/officeDocument/2006/customXml" ds:itemID="{00ADD553-B2E5-4B20-B6DA-1B547F82CFA6}">
  <ds:schemaRefs/>
</ds:datastoreItem>
</file>

<file path=customXml/itemProps22.xml><?xml version="1.0" encoding="utf-8"?>
<ds:datastoreItem xmlns:ds="http://schemas.openxmlformats.org/officeDocument/2006/customXml" ds:itemID="{E82A9487-1748-47E1-8C50-039638E17003}">
  <ds:schemaRefs/>
</ds:datastoreItem>
</file>

<file path=customXml/itemProps23.xml><?xml version="1.0" encoding="utf-8"?>
<ds:datastoreItem xmlns:ds="http://schemas.openxmlformats.org/officeDocument/2006/customXml" ds:itemID="{3CD2E68F-0C65-44CA-94E7-7782EAC964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Aktiv qalma müddəti 1</vt:lpstr>
      <vt:lpstr>Aktiv qalma müddəti 2</vt:lpstr>
      <vt:lpstr>Reyting-Bonus-Plan</vt:lpstr>
      <vt:lpstr>Kampaniya</vt:lpstr>
      <vt:lpstr>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Kanan Jafarli</dc:creator>
  <cp:lastModifiedBy>Kanan Jafarli</cp:lastModifiedBy>
  <dcterms:created xsi:type="dcterms:W3CDTF">2015-06-05T18:17:20Z</dcterms:created>
  <dcterms:modified xsi:type="dcterms:W3CDTF">2025-09-28T07:26:30Z</dcterms:modified>
</cp:coreProperties>
</file>